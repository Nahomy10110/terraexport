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Casos" sheetId="2" state="visible" r:id="rId4"/>
    <sheet name="Sensibilidad" sheetId="3" state="visible" r:id="rId5"/>
    <sheet name="Paises" sheetId="4" state="visible" r:id="rId6"/>
    <sheet name="Productos" sheetId="5" state="visible" r:id="rId7"/>
    <sheet name="Rutas" sheetId="6" state="visible" r:id="rId8"/>
    <sheet name="Aranceles" sheetId="7" state="visible" r:id="rId9"/>
    <sheet name="Demanda" sheetId="8" state="visible" r:id="rId10"/>
    <sheet name="Parametros" sheetId="9" state="visible" r:id="rId11"/>
    <sheet name="Fuentes" sheetId="10" state="visible" r:id="rId12"/>
    <sheet name="Backlo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<sst xmlns="http://schemas.openxmlformats.org/spreadsheetml/2006/main" count="780" uniqueCount="421">
  <si>
    <t xml:space="preserve">TerraExport · Modelo de cálculo</t>
  </si>
  <si>
    <t xml:space="preserve">EIF409 Aplicaciones Informáticas Globales, UNA Campus Liberia, II Ciclo 2026</t>
  </si>
  <si>
    <t xml:space="preserve">Qué es</t>
  </si>
  <si>
    <t xml:space="preserve">Muestra de datos (10 países, 15 productos) y reglas de cálculo aplicadas a 10 casos. La demo usa estos mismos datos.</t>
  </si>
  <si>
    <t xml:space="preserve">Cómo leer</t>
  </si>
  <si>
    <t xml:space="preserve">Texto azul: dato editable. Texto negro: fórmula. La columna Estado indica de dónde sale cada dato.</t>
  </si>
  <si>
    <t xml:space="preserve">Estados</t>
  </si>
  <si>
    <t xml:space="preserve">Verificado: fuente oficial o secundaria del 2026.  Referencia / Derivado: dato de años anteriores o calculado a partir de una fuente.  Estimado: valor de mercado sin fuente pública directa.</t>
  </si>
  <si>
    <t xml:space="preserve">Fórmulas</t>
  </si>
  <si>
    <t xml:space="preserve">FOB = volumen × costo unitario · Flete = volumen × kg × USD/kg · Seguro = (FOB + flete) × % · CIF = FOB + flete + seguro · Arancel = CIF × % · Costo total = CIF + arancel · Unidades vendidas = MÍN(volumen; ENTERO(demanda ÷ equipos × índice^−elasticidad)) · Utilidad = ventas − costo total. Todo se redondea a 2 decimales.</t>
  </si>
  <si>
    <t xml:space="preserve">Actualizar la demo</t>
  </si>
  <si>
    <t xml:space="preserve">Guardar en Excel → python scripts/excel_a_datos.py → npm test.</t>
  </si>
  <si>
    <t xml:space="preserve">Hojas</t>
  </si>
  <si>
    <t xml:space="preserve">Casos</t>
  </si>
  <si>
    <t xml:space="preserve">Los 10 casos de verificación (RF-09, RF-10, RF-11).</t>
  </si>
  <si>
    <t xml:space="preserve">Sensibilidad</t>
  </si>
  <si>
    <t xml:space="preserve">Prueba de precio para un caso (RF-10).</t>
  </si>
  <si>
    <t xml:space="preserve">Paises · Productos · Rutas · Aranceles · Demanda</t>
  </si>
  <si>
    <t xml:space="preserve">Muestra de datos (RF-06).</t>
  </si>
  <si>
    <t xml:space="preserve">Parametros · Fuentes · Backlog</t>
  </si>
  <si>
    <t xml:space="preserve">Configuración, referencias y avance del sprint.</t>
  </si>
  <si>
    <t xml:space="preserve">Casos de verificación</t>
  </si>
  <si>
    <t xml:space="preserve">Columnas A–I: decisión del equipo. Las columnas J–Q (datos consultados) están agrupadas: use el botón + para verlas.</t>
  </si>
  <si>
    <t xml:space="preserve">Caso</t>
  </si>
  <si>
    <t xml:space="preserve">ISO</t>
  </si>
  <si>
    <t xml:space="preserve">Producto</t>
  </si>
  <si>
    <t xml:space="preserve">Transporte</t>
  </si>
  <si>
    <t xml:space="preserve">Volumen</t>
  </si>
  <si>
    <t xml:space="preserve">Precio (USD)</t>
  </si>
  <si>
    <t xml:space="preserve">Equipos</t>
  </si>
  <si>
    <t xml:space="preserve">Variación TC</t>
  </si>
  <si>
    <t xml:space="preserve">Capital</t>
  </si>
  <si>
    <t xml:space="preserve">FOB unit.</t>
  </si>
  <si>
    <t xml:space="preserve">Peso kg</t>
  </si>
  <si>
    <t xml:space="preserve">Flete/kg</t>
  </si>
  <si>
    <t xml:space="preserve">% seguro</t>
  </si>
  <si>
    <t xml:space="preserve">% arancel</t>
  </si>
  <si>
    <t xml:space="preserve">TC base</t>
  </si>
  <si>
    <t xml:space="preserve">Precio ref.</t>
  </si>
  <si>
    <t xml:space="preserve">Demanda</t>
  </si>
  <si>
    <t xml:space="preserve">Valor FOB</t>
  </si>
  <si>
    <t xml:space="preserve">Flete</t>
  </si>
  <si>
    <t xml:space="preserve">Seguro</t>
  </si>
  <si>
    <t xml:space="preserve">Valor CIF</t>
  </si>
  <si>
    <t xml:space="preserve">Arancel</t>
  </si>
  <si>
    <t xml:space="preserve">Costo total</t>
  </si>
  <si>
    <t xml:space="preserve">TC aplicado</t>
  </si>
  <si>
    <t xml:space="preserve">Costo en moneda destino</t>
  </si>
  <si>
    <t xml:space="preserve">Índice de precio</t>
  </si>
  <si>
    <t xml:space="preserve">Unidades vendidas</t>
  </si>
  <si>
    <t xml:space="preserve">Ventas</t>
  </si>
  <si>
    <t xml:space="preserve">Utilidad</t>
  </si>
  <si>
    <t xml:space="preserve">Capital final</t>
  </si>
  <si>
    <t xml:space="preserve">¿Válida?</t>
  </si>
  <si>
    <t xml:space="preserve">Explicación</t>
  </si>
  <si>
    <t xml:space="preserve">Mercado / producto</t>
  </si>
  <si>
    <t xml:space="preserve">C01</t>
  </si>
  <si>
    <t xml:space="preserve">USA</t>
  </si>
  <si>
    <t xml:space="preserve">P01</t>
  </si>
  <si>
    <t xml:space="preserve">Marítimo</t>
  </si>
  <si>
    <t xml:space="preserve">C02</t>
  </si>
  <si>
    <t xml:space="preserve">NLD</t>
  </si>
  <si>
    <t xml:space="preserve">P02</t>
  </si>
  <si>
    <t xml:space="preserve">C03</t>
  </si>
  <si>
    <t xml:space="preserve">DEU</t>
  </si>
  <si>
    <t xml:space="preserve">P03</t>
  </si>
  <si>
    <t xml:space="preserve">C04</t>
  </si>
  <si>
    <t xml:space="preserve">JPN</t>
  </si>
  <si>
    <t xml:space="preserve">P04</t>
  </si>
  <si>
    <t xml:space="preserve">Aéreo</t>
  </si>
  <si>
    <t xml:space="preserve">C05</t>
  </si>
  <si>
    <t xml:space="preserve">GBR</t>
  </si>
  <si>
    <t xml:space="preserve">P05</t>
  </si>
  <si>
    <t xml:space="preserve">C06</t>
  </si>
  <si>
    <t xml:space="preserve">CAN</t>
  </si>
  <si>
    <t xml:space="preserve">P06</t>
  </si>
  <si>
    <t xml:space="preserve">C07</t>
  </si>
  <si>
    <t xml:space="preserve">P07</t>
  </si>
  <si>
    <t xml:space="preserve">C08</t>
  </si>
  <si>
    <t xml:space="preserve">ESP</t>
  </si>
  <si>
    <t xml:space="preserve">P09</t>
  </si>
  <si>
    <t xml:space="preserve">C09</t>
  </si>
  <si>
    <t xml:space="preserve">MEX</t>
  </si>
  <si>
    <t xml:space="preserve">P15</t>
  </si>
  <si>
    <t xml:space="preserve">C10</t>
  </si>
  <si>
    <t xml:space="preserve">CHN</t>
  </si>
  <si>
    <t xml:space="preserve">P12</t>
  </si>
  <si>
    <t xml:space="preserve">Total</t>
  </si>
  <si>
    <t xml:space="preserve">C04 reproduce el ejemplo del documento: arancel de 12 % y la moneda destino pierde 4 % de valor.</t>
  </si>
  <si>
    <t xml:space="preserve">Prueba de precio (RF-10)</t>
  </si>
  <si>
    <t xml:space="preserve">Elija un caso en B4. La tabla muestra la utilidad con distintos precios y el mismo volumen.</t>
  </si>
  <si>
    <t xml:space="preserve">Fila en Casos</t>
  </si>
  <si>
    <t xml:space="preserve">Precio de referencia</t>
  </si>
  <si>
    <t xml:space="preserve">Demanda por equipo</t>
  </si>
  <si>
    <t xml:space="preserve">Precio vs. referencia</t>
  </si>
  <si>
    <t xml:space="preserve">Precio</t>
  </si>
  <si>
    <t xml:space="preserve">Índice</t>
  </si>
  <si>
    <t xml:space="preserve">Países destino</t>
  </si>
  <si>
    <t xml:space="preserve">Tipo de cambio en unidades por 1 USD (promedio de septiembre 2026) y perfil cultural de Hofstede.</t>
  </si>
  <si>
    <t xml:space="preserve">País</t>
  </si>
  <si>
    <t xml:space="preserve">Moneda</t>
  </si>
  <si>
    <t xml:space="preserve">Código</t>
  </si>
  <si>
    <t xml:space="preserve">Unidades por USD</t>
  </si>
  <si>
    <t xml:space="preserve">Fuente TC</t>
  </si>
  <si>
    <t xml:space="preserve">Fecha de corte</t>
  </si>
  <si>
    <t xml:space="preserve">Distancia al poder</t>
  </si>
  <si>
    <t xml:space="preserve">Individualismo</t>
  </si>
  <si>
    <t xml:space="preserve">Masculinidad</t>
  </si>
  <si>
    <t xml:space="preserve">Aversión a la incertidumbre</t>
  </si>
  <si>
    <t xml:space="preserve">Largo plazo</t>
  </si>
  <si>
    <t xml:space="preserve">Indulgencia</t>
  </si>
  <si>
    <t xml:space="preserve">Fuente Hofstede</t>
  </si>
  <si>
    <t xml:space="preserve">Estado</t>
  </si>
  <si>
    <t xml:space="preserve">Estados Unidos</t>
  </si>
  <si>
    <t xml:space="preserve">Dólar estadounidense</t>
  </si>
  <si>
    <t xml:space="preserve">USD</t>
  </si>
  <si>
    <t xml:space="preserve">F7</t>
  </si>
  <si>
    <t xml:space="preserve">2026-09</t>
  </si>
  <si>
    <t xml:space="preserve">F5</t>
  </si>
  <si>
    <t xml:space="preserve">TC verificado (oficial). Hofstede: Verificado (secundaria)</t>
  </si>
  <si>
    <t xml:space="preserve">Países Bajos</t>
  </si>
  <si>
    <t xml:space="preserve">Euro</t>
  </si>
  <si>
    <t xml:space="preserve">EUR</t>
  </si>
  <si>
    <t xml:space="preserve">TC verificado (oficial). Hofstede: PDI–UAI verificado; LTO e IVR: matriz 2010 (referencia)</t>
  </si>
  <si>
    <t xml:space="preserve">BEL</t>
  </si>
  <si>
    <t xml:space="preserve">Bélgica</t>
  </si>
  <si>
    <t xml:space="preserve">Alemania</t>
  </si>
  <si>
    <t xml:space="preserve">España</t>
  </si>
  <si>
    <t xml:space="preserve">Reino Unido</t>
  </si>
  <si>
    <t xml:space="preserve">Libra esterlina</t>
  </si>
  <si>
    <t xml:space="preserve">GBP</t>
  </si>
  <si>
    <t xml:space="preserve">México</t>
  </si>
  <si>
    <t xml:space="preserve">Peso mexicano</t>
  </si>
  <si>
    <t xml:space="preserve">MXN</t>
  </si>
  <si>
    <t xml:space="preserve">Canadá</t>
  </si>
  <si>
    <t xml:space="preserve">Dólar canadiense</t>
  </si>
  <si>
    <t xml:space="preserve">CAD</t>
  </si>
  <si>
    <t xml:space="preserve">China</t>
  </si>
  <si>
    <t xml:space="preserve">Yuan renminbi</t>
  </si>
  <si>
    <t xml:space="preserve">CNY</t>
  </si>
  <si>
    <t xml:space="preserve">Japón</t>
  </si>
  <si>
    <t xml:space="preserve">Yen</t>
  </si>
  <si>
    <t xml:space="preserve">JPY</t>
  </si>
  <si>
    <t xml:space="preserve">Productos de exportación</t>
  </si>
  <si>
    <t xml:space="preserve">Costo FOB en USD por unidad de venta. Peso usado para calcular el flete.</t>
  </si>
  <si>
    <t xml:space="preserve">id</t>
  </si>
  <si>
    <t xml:space="preserve">Código SA</t>
  </si>
  <si>
    <t xml:space="preserve">Unidad</t>
  </si>
  <si>
    <t xml:space="preserve">Peso (kg)</t>
  </si>
  <si>
    <t xml:space="preserve">Costo FOB (USD)</t>
  </si>
  <si>
    <t xml:space="preserve">Fuente</t>
  </si>
  <si>
    <t xml:space="preserve">Nota</t>
  </si>
  <si>
    <t xml:space="preserve">Medio de referencia</t>
  </si>
  <si>
    <t xml:space="preserve">Banano</t>
  </si>
  <si>
    <t xml:space="preserve">0803.90</t>
  </si>
  <si>
    <t xml:space="preserve">caja 18,14 kg</t>
  </si>
  <si>
    <t xml:space="preserve">F16</t>
  </si>
  <si>
    <t xml:space="preserve">Verificado (oficial)</t>
  </si>
  <si>
    <t xml:space="preserve">Precio mínimo legal FOB por caja.</t>
  </si>
  <si>
    <t xml:space="preserve">Piña</t>
  </si>
  <si>
    <t xml:space="preserve">0804.30</t>
  </si>
  <si>
    <t xml:space="preserve">caja 12 kg</t>
  </si>
  <si>
    <t xml:space="preserve">F18</t>
  </si>
  <si>
    <t xml:space="preserve">Referencia 2024</t>
  </si>
  <si>
    <t xml:space="preserve">USD 546 por tonelada × 12 kg.</t>
  </si>
  <si>
    <t xml:space="preserve">Café oro (verde)</t>
  </si>
  <si>
    <t xml:space="preserve">0901.11</t>
  </si>
  <si>
    <t xml:space="preserve">saco 46 kg</t>
  </si>
  <si>
    <t xml:space="preserve">F17</t>
  </si>
  <si>
    <t xml:space="preserve">Derivado</t>
  </si>
  <si>
    <t xml:space="preserve">46 kg × 2,20462 lb/kg × USD 2,779/lb.</t>
  </si>
  <si>
    <t xml:space="preserve">Café tostado</t>
  </si>
  <si>
    <t xml:space="preserve">0901.21</t>
  </si>
  <si>
    <t xml:space="preserve">Café oro equivalente (merma de tueste 18 %) + 30 % por tueste y empaque.</t>
  </si>
  <si>
    <t xml:space="preserve">Melón</t>
  </si>
  <si>
    <t xml:space="preserve">0807.19</t>
  </si>
  <si>
    <t xml:space="preserve">caja 15 kg</t>
  </si>
  <si>
    <t xml:space="preserve">F19</t>
  </si>
  <si>
    <t xml:space="preserve">USD 43 millones exportados ÷ 58 102 t (volumen 2024).</t>
  </si>
  <si>
    <t xml:space="preserve">Mango</t>
  </si>
  <si>
    <t xml:space="preserve">0804.50</t>
  </si>
  <si>
    <t xml:space="preserve">caja 4 kg</t>
  </si>
  <si>
    <t xml:space="preserve">F20</t>
  </si>
  <si>
    <t xml:space="preserve">Referencia (años anteriores)</t>
  </si>
  <si>
    <t xml:space="preserve">Caja de 4 kg entre USD 4 y 6 en Ecuador; se usa el punto medio.</t>
  </si>
  <si>
    <t xml:space="preserve">Yuca</t>
  </si>
  <si>
    <t xml:space="preserve">0714.10</t>
  </si>
  <si>
    <t xml:space="preserve">caja 18 kg</t>
  </si>
  <si>
    <t xml:space="preserve">USD 146 millones (2024) ÷ 135 000 t anuales (F21).</t>
  </si>
  <si>
    <t xml:space="preserve">P08</t>
  </si>
  <si>
    <t xml:space="preserve">Chayote</t>
  </si>
  <si>
    <t xml:space="preserve">0709.99</t>
  </si>
  <si>
    <t xml:space="preserve">F22</t>
  </si>
  <si>
    <t xml:space="preserve">Precio internacional promedio de una caja.</t>
  </si>
  <si>
    <t xml:space="preserve">Plantas ornamentales</t>
  </si>
  <si>
    <t xml:space="preserve">0602.90</t>
  </si>
  <si>
    <t xml:space="preserve">caja 30 plantas</t>
  </si>
  <si>
    <t xml:space="preserve">F6</t>
  </si>
  <si>
    <t xml:space="preserve">Estimado (referencia de mercado)</t>
  </si>
  <si>
    <t xml:space="preserve">USD 0,83 por planta en maceta pequeña.</t>
  </si>
  <si>
    <t xml:space="preserve">P10</t>
  </si>
  <si>
    <t xml:space="preserve">Aceite de palma</t>
  </si>
  <si>
    <t xml:space="preserve">1511.10</t>
  </si>
  <si>
    <t xml:space="preserve">tambor 190 kg</t>
  </si>
  <si>
    <t xml:space="preserve">F23</t>
  </si>
  <si>
    <t xml:space="preserve">Referencia 2025</t>
  </si>
  <si>
    <t xml:space="preserve">USD 1 007 por tonelada (promedio 2025).</t>
  </si>
  <si>
    <t xml:space="preserve">P11</t>
  </si>
  <si>
    <t xml:space="preserve">Azúcar</t>
  </si>
  <si>
    <t xml:space="preserve">1701.14</t>
  </si>
  <si>
    <t xml:space="preserve">saco 50 kg</t>
  </si>
  <si>
    <t xml:space="preserve">USD 0,37 por kg, precio mundial (promedio 2025).</t>
  </si>
  <si>
    <t xml:space="preserve">Jugo concentrado de piña</t>
  </si>
  <si>
    <t xml:space="preserve">2009.49</t>
  </si>
  <si>
    <t xml:space="preserve">tambor 250 kg</t>
  </si>
  <si>
    <t xml:space="preserve">F24</t>
  </si>
  <si>
    <t xml:space="preserve">USD 1,10 por kg.</t>
  </si>
  <si>
    <t xml:space="preserve">P13</t>
  </si>
  <si>
    <t xml:space="preserve">Palmito preparado</t>
  </si>
  <si>
    <t xml:space="preserve">2008.91</t>
  </si>
  <si>
    <t xml:space="preserve">caja 24 frascos</t>
  </si>
  <si>
    <t xml:space="preserve">USD 1,25 por frasco.</t>
  </si>
  <si>
    <t xml:space="preserve">P14</t>
  </si>
  <si>
    <t xml:space="preserve">Cacao en grano</t>
  </si>
  <si>
    <t xml:space="preserve">1801.00</t>
  </si>
  <si>
    <t xml:space="preserve">saco 60 kg</t>
  </si>
  <si>
    <t xml:space="preserve">USD 7,80 por kg (promedio 2025).</t>
  </si>
  <si>
    <t xml:space="preserve">Dispositivos médicos (catéteres)</t>
  </si>
  <si>
    <t xml:space="preserve">9018.39</t>
  </si>
  <si>
    <t xml:space="preserve">caja 100 unidades</t>
  </si>
  <si>
    <t xml:space="preserve">USD 4,50 por catéter desechable.</t>
  </si>
  <si>
    <t xml:space="preserve">Rutas desde Costa Rica</t>
  </si>
  <si>
    <t xml:space="preserve">Marítimo desde Moín, aéreo desde el Aeropuerto Juan Santamaría.</t>
  </si>
  <si>
    <t xml:space="preserve">Clave</t>
  </si>
  <si>
    <t xml:space="preserve">Medio</t>
  </si>
  <si>
    <t xml:space="preserve">Flete (USD/kg)</t>
  </si>
  <si>
    <t xml:space="preserve">Días</t>
  </si>
  <si>
    <t xml:space="preserve">Tarifa general de referencia; seguro 0,3–0,5 % y tránsito según itinerarios habituales.</t>
  </si>
  <si>
    <t xml:space="preserve">F15</t>
  </si>
  <si>
    <t xml:space="preserve">Flete reefer 40' USD 3 200 + manejo en Moín USD 645, sobre 20 t.</t>
  </si>
  <si>
    <t xml:space="preserve">Igual a Moín–Rotterdam (misma ruta a Europa).</t>
  </si>
  <si>
    <t xml:space="preserve">Aranceles NMF ad valorem</t>
  </si>
  <si>
    <t xml:space="preserve">Uno por cada combinación de los casos. Agregar filas para ampliar la matriz.</t>
  </si>
  <si>
    <t xml:space="preserve">id producto</t>
  </si>
  <si>
    <t xml:space="preserve">% ad valorem</t>
  </si>
  <si>
    <t xml:space="preserve">Fecha</t>
  </si>
  <si>
    <t xml:space="preserve">F10</t>
  </si>
  <si>
    <t xml:space="preserve">2026-10-09</t>
  </si>
  <si>
    <t xml:space="preserve">Verificado (secundaria)</t>
  </si>
  <si>
    <t xml:space="preserve">HTS 0803.90.00: Free.</t>
  </si>
  <si>
    <t xml:space="preserve">F11</t>
  </si>
  <si>
    <t xml:space="preserve">CN 0804 30 00: 5,8 %.</t>
  </si>
  <si>
    <t xml:space="preserve">Referencia (histórico UE)</t>
  </si>
  <si>
    <t xml:space="preserve">CN 0901 11 00: 0 %, tasa histórica de la UE para café verde.</t>
  </si>
  <si>
    <t xml:space="preserve">F8</t>
  </si>
  <si>
    <t xml:space="preserve">0901.21.000: tasa OMC 12 %.</t>
  </si>
  <si>
    <t xml:space="preserve">F12</t>
  </si>
  <si>
    <t xml:space="preserve">0807 19 00 50: 8 %.</t>
  </si>
  <si>
    <t xml:space="preserve">F9</t>
  </si>
  <si>
    <t xml:space="preserve">0804.50.00: Free.</t>
  </si>
  <si>
    <t xml:space="preserve">HTS 0714.10.20.00: 11,3 %.</t>
  </si>
  <si>
    <t xml:space="preserve">CN 0602 90 70 plantas de interior: 6,5 %.</t>
  </si>
  <si>
    <t xml:space="preserve">F13</t>
  </si>
  <si>
    <t xml:space="preserve">TIGIE 9018.39.01: exento.</t>
  </si>
  <si>
    <t xml:space="preserve">F14</t>
  </si>
  <si>
    <t xml:space="preserve">2009.49.00: NMF 5 %.</t>
  </si>
  <si>
    <t xml:space="preserve">Demanda de mercado</t>
  </si>
  <si>
    <t xml:space="preserve">Parámetros del juego. Precio de referencia = costo puesto en destino por el medio de referencia × (1 + margen).</t>
  </si>
  <si>
    <t xml:space="preserve">Precio de referencia (USD)</t>
  </si>
  <si>
    <t xml:space="preserve">Demanda base (unid./ronda)</t>
  </si>
  <si>
    <t xml:space="preserve">Parámetro del juego</t>
  </si>
  <si>
    <t xml:space="preserve">Parámetros de la partida</t>
  </si>
  <si>
    <t xml:space="preserve">Valores que la docente define al crear la partida (RF-03).</t>
  </si>
  <si>
    <t xml:space="preserve">Parámetro</t>
  </si>
  <si>
    <t xml:space="preserve">Valor</t>
  </si>
  <si>
    <t xml:space="preserve">Capital inicial por equipo (USD)</t>
  </si>
  <si>
    <t xml:space="preserve">Igual para todos los equipos.</t>
  </si>
  <si>
    <t xml:space="preserve">Elasticidad precio de la demanda</t>
  </si>
  <si>
    <t xml:space="preserve">A mayor valor, más castiga un precio alto.</t>
  </si>
  <si>
    <t xml:space="preserve">Número de rondas</t>
  </si>
  <si>
    <t xml:space="preserve">Duración de ronda (min)</t>
  </si>
  <si>
    <t xml:space="preserve">Temporizador del panel docente (RF-05).</t>
  </si>
  <si>
    <t xml:space="preserve">País de origen</t>
  </si>
  <si>
    <t xml:space="preserve">Costa Rica</t>
  </si>
  <si>
    <t xml:space="preserve">Margen de mercado sobre costo puesto en destino</t>
  </si>
  <si>
    <t xml:space="preserve">Calibra el precio de referencia de la hoja Demanda.</t>
  </si>
  <si>
    <t xml:space="preserve">Fuentes</t>
  </si>
  <si>
    <t xml:space="preserve">Para citar en APA 7, use el nombre y la URL de cada fuente.</t>
  </si>
  <si>
    <t xml:space="preserve">URL</t>
  </si>
  <si>
    <t xml:space="preserve">F1</t>
  </si>
  <si>
    <t xml:space="preserve">UN Comtrade</t>
  </si>
  <si>
    <t xml:space="preserve">https://comtradeplus.un.org</t>
  </si>
  <si>
    <t xml:space="preserve">F2</t>
  </si>
  <si>
    <t xml:space="preserve">WITS, Banco Mundial</t>
  </si>
  <si>
    <t xml:space="preserve">https://wits.worldbank.org</t>
  </si>
  <si>
    <t xml:space="preserve">F4</t>
  </si>
  <si>
    <t xml:space="preserve">BCCR, indicadores económicos</t>
  </si>
  <si>
    <t xml:space="preserve">https://www.bccr.fi.cr/indicadores-economicos</t>
  </si>
  <si>
    <t xml:space="preserve">Hofstede, Hofstede y Minkov (2010), tablas publicadas (UNC, PMC, Rework)</t>
  </si>
  <si>
    <t xml:space="preserve">https://geerthofstede.com/research-and-vsm/dimension-data-matrix/</t>
  </si>
  <si>
    <t xml:space="preserve">Estimación del equipo con referencias de mercado</t>
  </si>
  <si>
    <t xml:space="preserve">Federal Reserve, G.5 Foreign Exchange Rates (FRED), sep. 2026</t>
  </si>
  <si>
    <t xml:space="preserve">https://fred.stlouisfed.org/release/tables?eid=26693&amp;rid=15</t>
  </si>
  <si>
    <t xml:space="preserve">Aduanas de Japón, arancel al 1/4/2026</t>
  </si>
  <si>
    <t xml:space="preserve">https://www.customs.go.jp/english/tariff/2026_04_01/data/e_09.htm</t>
  </si>
  <si>
    <t xml:space="preserve">CBSA, Customs Tariff, cap. 08</t>
  </si>
  <si>
    <t xml:space="preserve">https://cbsa-asfc.gc.ca/trade-commerce/tariff-tarif/2024/01-99/ch08-2024-eng.pdf</t>
  </si>
  <si>
    <t xml:space="preserve">USITC Harmonized Tariff Schedule (vía agregadores)</t>
  </si>
  <si>
    <t xml:space="preserve">https://hts.usitc.gov</t>
  </si>
  <si>
    <t xml:space="preserve">TARIC de la UE (vía thetradehub.eu / hsciq.com)</t>
  </si>
  <si>
    <t xml:space="preserve">https://ec.europa.eu/taxation_customs/dds2/taric/</t>
  </si>
  <si>
    <t xml:space="preserve">UK Trade Tariff (vía treayo.com)</t>
  </si>
  <si>
    <t xml:space="preserve">https://www.trade-tariff.service.gov.uk</t>
  </si>
  <si>
    <t xml:space="preserve">TIGIE México (vía camtomx.com)</t>
  </si>
  <si>
    <t xml:space="preserve">https://www.snice.gob.mx</t>
  </si>
  <si>
    <t xml:space="preserve">Arancel de China 2026 (vía htshub.com)</t>
  </si>
  <si>
    <t xml:space="preserve">https://www.htshub.com/cn-hs/detail/2009490000</t>
  </si>
  <si>
    <t xml:space="preserve">Maersk, tarifas Costa Rica 2025-2026</t>
  </si>
  <si>
    <t xml:space="preserve">https://www.maersk.com/news/articles/2026/09/16/terminal-handling-service-revision-costa-rica</t>
  </si>
  <si>
    <t xml:space="preserve">Decreto de precio mínimo de la caja de banano (2020)</t>
  </si>
  <si>
    <t xml:space="preserve">https://delfino.cr/2019/12/gobierno-sube-precio-minimo-de-banano-de-exportacion-en-87</t>
  </si>
  <si>
    <t xml:space="preserve">ICE Futures US, café arábica, 28/09/2026</t>
  </si>
  <si>
    <t xml:space="preserve">https://es.dailyforex.com/forex-technical-analysis/2026/09/cafe-arabica-en-mexico-pone-a-prueba-soporte-clave-28-septiembre-2026/250132</t>
  </si>
  <si>
    <t xml:space="preserve">IndexBox, precio medio de exportación de piña de Costa Rica 2024</t>
  </si>
  <si>
    <t xml:space="preserve">https://www.indexbox.io/store/costa-rica-pineapples-market-report-analysis-and-forecast-to-2020/</t>
  </si>
  <si>
    <t xml:space="preserve">PROCOMER (valor exportado 2024) y SEPSA, Boletín Estadístico Agropecuario 35</t>
  </si>
  <si>
    <t xml:space="preserve">https://www.infoagro.go.cr/wp-content/uploads/2025/09/BEA35.pdf</t>
  </si>
  <si>
    <t xml:space="preserve">FreshPlaza, mercado global de mango (temporadas anteriores)</t>
  </si>
  <si>
    <t xml:space="preserve">https://www.freshplaza.com/article/2007762/overview-global-market-mango</t>
  </si>
  <si>
    <t xml:space="preserve">F21</t>
  </si>
  <si>
    <t xml:space="preserve">AgroLatam, exportación de yuca de Costa Rica (2026)</t>
  </si>
  <si>
    <t xml:space="preserve">https://www.agrolatam.com/agricultura-latam/costa-rica-yuca-exportaciones-mercado-global/</t>
  </si>
  <si>
    <t xml:space="preserve">El Financiero, chayote de Costa Rica (años anteriores)</t>
  </si>
  <si>
    <t xml:space="preserve">https://www.elfinancierocr.com/economia-y-politica/competitividad-de-mexico-ahoga-al-chayote-de-costa-rica/T7ENQUNP5VGRJDCX2ARZ2NL6RI/story/</t>
  </si>
  <si>
    <t xml:space="preserve">Banco Mundial, Pink Sheet, febrero 2026 (promedios 2025)</t>
  </si>
  <si>
    <t xml:space="preserve">https://thedocs.worldbank.org/en/doc/74e8be41ceb20fa0da750cda2f6b9e4e-0050012026/related/CMO-Pink-Sheet-February-2026.pdf</t>
  </si>
  <si>
    <t xml:space="preserve">Tridge, precio unitario de jugo de piña de Costa Rica (2025)</t>
  </si>
  <si>
    <t xml:space="preserve">https://www.tridge.com/intelligences/pineapple-juice</t>
  </si>
  <si>
    <t xml:space="preserve">Product Backlog</t>
  </si>
  <si>
    <t xml:space="preserve">Responsable y estado se actualizan en cada revisión del sprint.</t>
  </si>
  <si>
    <t xml:space="preserve">RF</t>
  </si>
  <si>
    <t xml:space="preserve">Requerimiento</t>
  </si>
  <si>
    <t xml:space="preserve">Prioridad</t>
  </si>
  <si>
    <t xml:space="preserve">Sprint</t>
  </si>
  <si>
    <t xml:space="preserve">Entregable</t>
  </si>
  <si>
    <t xml:space="preserve">Rama</t>
  </si>
  <si>
    <t xml:space="preserve">Responsable</t>
  </si>
  <si>
    <t xml:space="preserve">RF-01</t>
  </si>
  <si>
    <t xml:space="preserve">Registrar e iniciar sesión como docente.</t>
  </si>
  <si>
    <t xml:space="preserve">Alta</t>
  </si>
  <si>
    <t xml:space="preserve">Registro e inicio de sesión del docente.</t>
  </si>
  <si>
    <t xml:space="preserve">feature/rf-01-login-docente</t>
  </si>
  <si>
    <t xml:space="preserve">Pendiente</t>
  </si>
  <si>
    <t xml:space="preserve">RF-02</t>
  </si>
  <si>
    <t xml:space="preserve">Ingresar como estudiante con código y alias, sin crear cuenta.</t>
  </si>
  <si>
    <t xml:space="preserve">Ingreso con código y alias, y sala de espera.</t>
  </si>
  <si>
    <t xml:space="preserve">feature/rf-02-ingreso-estudiante</t>
  </si>
  <si>
    <t xml:space="preserve">RF-03</t>
  </si>
  <si>
    <t xml:space="preserve">Crear una partida: rondas, duración, capital, países y productos.</t>
  </si>
  <si>
    <t xml:space="preserve">Asistente de partida y código de acceso.</t>
  </si>
  <si>
    <t xml:space="preserve">feature/rf-03-crear-partida</t>
  </si>
  <si>
    <t xml:space="preserve">RF-04</t>
  </si>
  <si>
    <t xml:space="preserve">Conformar equipos de forma automática o manual.</t>
  </si>
  <si>
    <t xml:space="preserve">Conformación de equipos.</t>
  </si>
  <si>
    <t xml:space="preserve">feature/rf-04-equipos</t>
  </si>
  <si>
    <t xml:space="preserve">RF-05</t>
  </si>
  <si>
    <t xml:space="preserve">Iniciar, pausar y cerrar rondas con temporizador visible.</t>
  </si>
  <si>
    <t xml:space="preserve">Panel del docente.</t>
  </si>
  <si>
    <t xml:space="preserve">feature/rf-05-panel-ronda</t>
  </si>
  <si>
    <t xml:space="preserve">RF-06</t>
  </si>
  <si>
    <t xml:space="preserve">Consultar la ficha de cada país con fuente y fecha.</t>
  </si>
  <si>
    <t xml:space="preserve">Muestra de 10 países y ficha de país.</t>
  </si>
  <si>
    <t xml:space="preserve">feature/rf-06-ficha-pais</t>
  </si>
  <si>
    <t xml:space="preserve">RF-07</t>
  </si>
  <si>
    <t xml:space="preserve">Consultar la ficha de cada producto.</t>
  </si>
  <si>
    <t xml:space="preserve">Media</t>
  </si>
  <si>
    <t xml:space="preserve">Ficha de producto.</t>
  </si>
  <si>
    <t xml:space="preserve">feature/rf-07-ficha-producto</t>
  </si>
  <si>
    <t xml:space="preserve">RF-08</t>
  </si>
  <si>
    <t xml:space="preserve">Registrar la decisión del equipo.</t>
  </si>
  <si>
    <t xml:space="preserve">Formulario de decisión.</t>
  </si>
  <si>
    <t xml:space="preserve">feature/rf-08-decision</t>
  </si>
  <si>
    <t xml:space="preserve">RF-09</t>
  </si>
  <si>
    <t xml:space="preserve">Calcular FOB, flete, seguro, CIF y arancel, y convertir con el tipo de cambio.</t>
  </si>
  <si>
    <t xml:space="preserve">Fórmulas de costos verificadas con 10 casos.</t>
  </si>
  <si>
    <t xml:space="preserve">feature/rf-09-costos</t>
  </si>
  <si>
    <t xml:space="preserve">RF-10</t>
  </si>
  <si>
    <t xml:space="preserve">Calcular ventas, utilidad y capital según precio y competencia.</t>
  </si>
  <si>
    <t xml:space="preserve">Regla de ventas y pruebas de precio.</t>
  </si>
  <si>
    <t xml:space="preserve">feature/rf-10-ventas-utilidad</t>
  </si>
  <si>
    <t xml:space="preserve">RF-11</t>
  </si>
  <si>
    <t xml:space="preserve">Mostrar el resultado de la ronda con desglose y explicación.</t>
  </si>
  <si>
    <t xml:space="preserve">Pantalla de resultados.</t>
  </si>
  <si>
    <t xml:space="preserve">feature/rf-11-resultados</t>
  </si>
  <si>
    <t xml:space="preserve">RF-12</t>
  </si>
  <si>
    <t xml:space="preserve">Mostrar el ranking de equipos.</t>
  </si>
  <si>
    <t xml:space="preserve">Ranking.</t>
  </si>
  <si>
    <t xml:space="preserve">feature/rf-12-ranking</t>
  </si>
  <si>
    <t xml:space="preserve">RF-13</t>
  </si>
  <si>
    <t xml:space="preserve">Generar eventos de mercado.</t>
  </si>
  <si>
    <t xml:space="preserve">Eventos de mercado.</t>
  </si>
  <si>
    <t xml:space="preserve">feature/rf-13-eventos</t>
  </si>
  <si>
    <t xml:space="preserve">RF-14</t>
  </si>
  <si>
    <t xml:space="preserve">Presentar choques culturales basados en Hofstede.</t>
  </si>
  <si>
    <t xml:space="preserve">Choques culturales.</t>
  </si>
  <si>
    <t xml:space="preserve">feature/rf-14-choques-culturales</t>
  </si>
  <si>
    <t xml:space="preserve">RF-15</t>
  </si>
  <si>
    <t xml:space="preserve">Consultar historial y generar reporte final.</t>
  </si>
  <si>
    <t xml:space="preserve">Historial y reporte.</t>
  </si>
  <si>
    <t xml:space="preserve">feature/rf-15-historial-reporte</t>
  </si>
  <si>
    <t xml:space="preserve">RF-16</t>
  </si>
  <si>
    <t xml:space="preserve">Ofrecer un modo de demostración sin registro.</t>
  </si>
  <si>
    <t xml:space="preserve">Baja</t>
  </si>
  <si>
    <t xml:space="preserve">Modo demostración.</t>
  </si>
  <si>
    <t xml:space="preserve">feature/rf-16-modo-demo</t>
  </si>
  <si>
    <t xml:space="preserve">Requerimientos</t>
  </si>
  <si>
    <t xml:space="preserve">En Sprint 1</t>
  </si>
  <si>
    <t xml:space="preserve">% en Sprint 1</t>
  </si>
  <si>
    <t xml:space="preserve">Sprint 1 terminados</t>
  </si>
  <si>
    <t xml:space="preserve">Avance del Sprint 1</t>
  </si>
  <si>
    <t xml:space="preserve">Avance del producto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</si>
</sst>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\$#,##0.00;[RED]&quot;-$&quot;#,##0.00;\–"/>
    <numFmt numFmtId="167" formatCode="0"/>
    <numFmt numFmtId="168" formatCode="0.0%;\-0.0%;\–"/>
    <numFmt numFmtId="169" formatCode="#,##0.00"/>
    <numFmt numFmtId="170" formatCode="0.00%"/>
    <numFmt numFmtId="171" formatCode="0.0%"/>
    <numFmt numFmtId="172" formatCode="#,##0.0000"/>
    <numFmt numFmtId="173" formatCode="#,##0.0"/>
    <numFmt numFmtId="174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3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1F2933"/>
      <name val="Arial"/>
      <family val="0"/>
      <charset val="1"/>
    </font>
    <font>
      <sz val="10"/>
      <color rgb="FF1D4ED8"/>
      <name val="Arial"/>
      <family val="0"/>
      <charset val="1"/>
    </font>
    <font>
      <sz val="9"/>
      <color rgb="FF6B72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3F4F6"/>
        <bgColor rgb="FFE5E7EB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2933"/>
      </bottom>
      <diagonal/>
    </border>
    <border diagonalUp="false" diagonalDown="false">
      <left/>
      <right/>
      <top/>
      <bottom style="thin">
        <color rgb="FFE5E7EB"/>
      </bottom>
      <diagonal/>
    </border>
    <border diagonalUp="false" diagonalDown="false">
      <left/>
      <right/>
      <top style="medium">
        <color rgb="FF1F29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4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63.75" hidden="false" customHeight="true" outlineLevel="0" collapsed="false">
      <c r="A7" s="3" t="s">
        <v>8</v>
      </c>
      <c r="B7" s="4" t="s">
        <v>9</v>
      </c>
    </row>
    <row r="8" customFormat="false" ht="15.75" hidden="false" customHeight="true" outlineLevel="0" collapsed="false">
      <c r="A8" s="3" t="s">
        <v>10</v>
      </c>
      <c r="B8" s="4" t="s">
        <v>11</v>
      </c>
    </row>
    <row r="11" customFormat="false" ht="15" hidden="false" customHeight="false" outlineLevel="0" collapsed="false">
      <c r="A11" s="5" t="s">
        <v>12</v>
      </c>
    </row>
    <row r="12" customFormat="false" ht="15" hidden="false" customHeight="false" outlineLevel="0" collapsed="false">
      <c r="A12" s="6" t="s">
        <v>13</v>
      </c>
      <c r="B12" s="2" t="s">
        <v>14</v>
      </c>
    </row>
    <row r="13" customFormat="false" ht="15" hidden="false" customHeight="false" outlineLevel="0" collapsed="false">
      <c r="A13" s="6" t="s">
        <v>15</v>
      </c>
      <c r="B13" s="2" t="s">
        <v>16</v>
      </c>
    </row>
    <row r="14" customFormat="false" ht="15" hidden="false" customHeight="false" outlineLevel="0" collapsed="false">
      <c r="A14" s="6" t="s">
        <v>17</v>
      </c>
      <c r="B14" s="2" t="s">
        <v>18</v>
      </c>
    </row>
    <row r="15" customFormat="false" ht="15" hidden="false" customHeight="false" outlineLevel="0" collapsed="false">
      <c r="A15" s="6" t="s">
        <v>19</v>
      </c>
      <c r="B1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2" min="1" style="0" width="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true" outlineLevel="1" max="10" min="10" style="0" width="9"/>
    <col collapsed="false" customWidth="true" hidden="true" outlineLevel="1" max="13" min="11" style="0" width="8"/>
    <col collapsed="false" customWidth="true" hidden="true" outlineLevel="1" max="14" min="14" style="0" width="9"/>
    <col collapsed="false" customWidth="true" hidden="true" outlineLevel="1" max="16" min="15" style="0" width="10"/>
    <col collapsed="false" customWidth="true" hidden="true" outlineLevel="1" max="17" min="17" style="0" width="9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4" min="24" style="0" width="10"/>
    <col collapsed="false" customWidth="true" hidden="false" outlineLevel="0" max="25" min="25" style="0" width="14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30" min="28" style="0" width="12"/>
    <col collapsed="false" customWidth="true" hidden="false" outlineLevel="0" max="31" min="31" style="0" width="8"/>
    <col collapsed="false" customWidth="true" hidden="false" outlineLevel="0" max="32" min="32" style="0" width="70"/>
    <col collapsed="false" customWidth="true" hidden="false" outlineLevel="0" max="33" min="33" style="0" width="30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31.5" hidden="false" customHeight="true" outlineLevel="0" collapsed="false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  <c r="L4" s="7" t="s">
        <v>34</v>
      </c>
      <c r="M4" s="7" t="s">
        <v>35</v>
      </c>
      <c r="N4" s="7" t="s">
        <v>36</v>
      </c>
      <c r="O4" s="7" t="s">
        <v>37</v>
      </c>
      <c r="P4" s="7" t="s">
        <v>38</v>
      </c>
      <c r="Q4" s="7" t="s">
        <v>39</v>
      </c>
      <c r="R4" s="7" t="s">
        <v>40</v>
      </c>
      <c r="S4" s="7" t="s">
        <v>41</v>
      </c>
      <c r="T4" s="7" t="s">
        <v>42</v>
      </c>
      <c r="U4" s="7" t="s">
        <v>43</v>
      </c>
      <c r="V4" s="7" t="s">
        <v>44</v>
      </c>
      <c r="W4" s="7" t="s">
        <v>45</v>
      </c>
      <c r="X4" s="7" t="s">
        <v>46</v>
      </c>
      <c r="Y4" s="7" t="s">
        <v>47</v>
      </c>
      <c r="Z4" s="7" t="s">
        <v>48</v>
      </c>
      <c r="AA4" s="7" t="s">
        <v>49</v>
      </c>
      <c r="AB4" s="7" t="s">
        <v>50</v>
      </c>
      <c r="AC4" s="7" t="s">
        <v>51</v>
      </c>
      <c r="AD4" s="7" t="s">
        <v>52</v>
      </c>
      <c r="AE4" s="7" t="s">
        <v>53</v>
      </c>
      <c r="AF4" s="7" t="s">
        <v>54</v>
      </c>
      <c r="AG4" s="7" t="s">
        <v>55</v>
      </c>
    </row>
    <row r="5" customFormat="false" ht="33.75" hidden="false" customHeight="true" outlineLevel="0" collapsed="false">
      <c r="A5" s="8" t="s">
        <v>56</v>
      </c>
      <c r="B5" s="8" t="s">
        <v>57</v>
      </c>
      <c r="C5" s="8" t="s">
        <v>58</v>
      </c>
      <c r="D5" s="8" t="s">
        <v>59</v>
      </c>
      <c r="E5" s="9" t="n">
        <v>2000</v>
      </c>
      <c r="F5" s="10" t="n">
        <v>13.87</v>
      </c>
      <c r="G5" s="11" t="n">
        <v>2</v>
      </c>
      <c r="H5" s="12" t="n">
        <v>0</v>
      </c>
      <c r="I5" s="13" t="n">
        <f aca="false">Parametros!$B$5</f>
        <v>50000</v>
      </c>
      <c r="J5" s="13" t="n">
        <f aca="false">INDEX(Productos!$F:$F,MATCH(C5,Productos!$A:$A,0))</f>
        <v>8.36</v>
      </c>
      <c r="K5" s="14" t="n">
        <f aca="false">INDEX(Productos!$E:$E,MATCH(C5,Productos!$A:$A,0))</f>
        <v>18.14</v>
      </c>
      <c r="L5" s="13" t="n">
        <f aca="false">INDEX(Rutas!$E:$E,MATCH(B5&amp;"|"&amp;D5,Rutas!$A:$A,0))</f>
        <v>0.18</v>
      </c>
      <c r="M5" s="15" t="n">
        <f aca="false">INDEX(Rutas!$F:$F,MATCH(B5&amp;"|"&amp;D5,Rutas!$A:$A,0))</f>
        <v>0.005</v>
      </c>
      <c r="N5" s="16" t="n">
        <f aca="false">INDEX(Aranceles!$F:$F,MATCH(B5&amp;"|"&amp;C5,Aranceles!$A:$A,0))</f>
        <v>0</v>
      </c>
      <c r="O5" s="17" t="n">
        <f aca="false">INDEX(Paises!$E:$E,MATCH(B5,Paises!$A:$A,0))</f>
        <v>1</v>
      </c>
      <c r="P5" s="13" t="n">
        <f aca="false">INDEX(Demanda!$F:$F,MATCH(B5&amp;"|"&amp;C5,Demanda!$A:$A,0))</f>
        <v>14.6</v>
      </c>
      <c r="Q5" s="18" t="n">
        <f aca="false">INDEX(Demanda!$G:$G,MATCH(B5&amp;"|"&amp;C5,Demanda!$A:$A,0))</f>
        <v>4000</v>
      </c>
      <c r="R5" s="13" t="n">
        <f aca="false">ROUND(E5*J5,2)</f>
        <v>16720</v>
      </c>
      <c r="S5" s="13" t="n">
        <f aca="false">ROUND(E5*K5*L5,2)</f>
        <v>6530.4</v>
      </c>
      <c r="T5" s="13" t="n">
        <f aca="false">ROUND((R5+S5)*M5,2)</f>
        <v>116.25</v>
      </c>
      <c r="U5" s="13" t="n">
        <f aca="false">ROUND(R5+S5+T5,2)</f>
        <v>23366.65</v>
      </c>
      <c r="V5" s="13" t="n">
        <f aca="false">ROUND(U5*N5,2)</f>
        <v>0</v>
      </c>
      <c r="W5" s="19" t="n">
        <f aca="false">ROUND(U5+V5,2)</f>
        <v>23366.65</v>
      </c>
      <c r="X5" s="17" t="n">
        <f aca="false">ROUND(O5*(1+H5),4)</f>
        <v>1</v>
      </c>
      <c r="Y5" s="14" t="n">
        <f aca="false">ROUND(W5*X5,2)</f>
        <v>23366.65</v>
      </c>
      <c r="Z5" s="17" t="n">
        <f aca="false">ROUND((F5/P5)*(1+H5),4)</f>
        <v>0.95</v>
      </c>
      <c r="AA5" s="18" t="n">
        <f aca="false">MIN(E5,ROUNDDOWN((Q5/G5)*Z5^(-Parametros!$B$6),0))</f>
        <v>2000</v>
      </c>
      <c r="AB5" s="13" t="n">
        <f aca="false">ROUND(AA5*F5,2)</f>
        <v>27740</v>
      </c>
      <c r="AC5" s="19" t="n">
        <f aca="false">ROUND(AB5-W5,2)</f>
        <v>4373.35</v>
      </c>
      <c r="AD5" s="13" t="n">
        <f aca="false">ROUND(I5+AC5,2)</f>
        <v>54373.35</v>
      </c>
      <c r="AE5" s="20" t="str">
        <f aca="false">IF(W5&lt;=I5,"Sí","No: excede el capital")</f>
        <v>Sí</v>
      </c>
      <c r="AF5" s="21" t="str">
        <f aca="false">IF(AA5&lt;E5,"Vendiste "&amp;AA5&amp;" de "&amp;E5&amp;" unidades. ","Vendiste las "&amp;E5&amp;" unidades enviadas. ")&amp;IF(ABS(Z5-1)&lt;0.005,"Tu precio en moneda local quedó igual al de referencia","Tu precio en moneda local quedó "&amp;ROUND(ABS(Z5-1)*100,0)&amp;" % "&amp;IF(Z5&gt;1,"por encima","por debajo")&amp;" del de referencia")&amp;IF(G5&gt;1," y competiste con "&amp;(G5-1)&amp;" equipo(s) más. "," y no tuviste competencia en ese mercado. ")&amp;IF(V5&gt;0,"El arancel se llevó el "&amp;ROUND(V5/W5*100,0)&amp;" % de tu costo total. ","Este mercado no cobra arancel a tu producto. ")&amp;IF(AC5&lt;0,"Resultado: pérdida.","Resultado: utilidad.")</f>
        <v>Vendiste las 2000 unidades enviadas. Tu precio en moneda local quedó 5 % por debajo del de referencia y competiste con 1 equipo(s) más. Este mercado no cobra arancel a tu producto. Resultado: utilidad.</v>
      </c>
      <c r="AG5" s="20" t="str">
        <f aca="false">INDEX(Paises!$B:$B,MATCH(B5,Paises!$A:$A,0))&amp;" / "&amp;INDEX(Productos!$B:$B,MATCH(C5,Productos!$A:$A,0))</f>
        <v>Estados Unidos / Banano</v>
      </c>
    </row>
    <row r="6" customFormat="false" ht="33.75" hidden="false" customHeight="true" outlineLevel="0" collapsed="false">
      <c r="A6" s="8" t="s">
        <v>60</v>
      </c>
      <c r="B6" s="8" t="s">
        <v>61</v>
      </c>
      <c r="C6" s="8" t="s">
        <v>62</v>
      </c>
      <c r="D6" s="8" t="s">
        <v>59</v>
      </c>
      <c r="E6" s="9" t="n">
        <v>1500</v>
      </c>
      <c r="F6" s="10" t="n">
        <v>10.92</v>
      </c>
      <c r="G6" s="11" t="n">
        <v>3</v>
      </c>
      <c r="H6" s="12" t="n">
        <v>0</v>
      </c>
      <c r="I6" s="13" t="n">
        <f aca="false">Parametros!$B$5</f>
        <v>50000</v>
      </c>
      <c r="J6" s="13" t="n">
        <f aca="false">INDEX(Productos!$F:$F,MATCH(C6,Productos!$A:$A,0))</f>
        <v>6.55</v>
      </c>
      <c r="K6" s="14" t="n">
        <f aca="false">INDEX(Productos!$E:$E,MATCH(C6,Productos!$A:$A,0))</f>
        <v>12</v>
      </c>
      <c r="L6" s="13" t="n">
        <f aca="false">INDEX(Rutas!$E:$E,MATCH(B6&amp;"|"&amp;D6,Rutas!$A:$A,0))</f>
        <v>0.19</v>
      </c>
      <c r="M6" s="15" t="n">
        <f aca="false">INDEX(Rutas!$F:$F,MATCH(B6&amp;"|"&amp;D6,Rutas!$A:$A,0))</f>
        <v>0.005</v>
      </c>
      <c r="N6" s="16" t="n">
        <f aca="false">INDEX(Aranceles!$F:$F,MATCH(B6&amp;"|"&amp;C6,Aranceles!$A:$A,0))</f>
        <v>0.058</v>
      </c>
      <c r="O6" s="17" t="n">
        <f aca="false">INDEX(Paises!$E:$E,MATCH(B6,Paises!$A:$A,0))</f>
        <v>0.8692</v>
      </c>
      <c r="P6" s="13" t="n">
        <f aca="false">INDEX(Demanda!$F:$F,MATCH(B6&amp;"|"&amp;C6,Demanda!$A:$A,0))</f>
        <v>11.74</v>
      </c>
      <c r="Q6" s="18" t="n">
        <f aca="false">INDEX(Demanda!$G:$G,MATCH(B6&amp;"|"&amp;C6,Demanda!$A:$A,0))</f>
        <v>4500</v>
      </c>
      <c r="R6" s="13" t="n">
        <f aca="false">ROUND(E6*J6,2)</f>
        <v>9825</v>
      </c>
      <c r="S6" s="13" t="n">
        <f aca="false">ROUND(E6*K6*L6,2)</f>
        <v>3420</v>
      </c>
      <c r="T6" s="13" t="n">
        <f aca="false">ROUND((R6+S6)*M6,2)</f>
        <v>66.23</v>
      </c>
      <c r="U6" s="13" t="n">
        <f aca="false">ROUND(R6+S6+T6,2)</f>
        <v>13311.23</v>
      </c>
      <c r="V6" s="13" t="n">
        <f aca="false">ROUND(U6*N6,2)</f>
        <v>772.05</v>
      </c>
      <c r="W6" s="19" t="n">
        <f aca="false">ROUND(U6+V6,2)</f>
        <v>14083.28</v>
      </c>
      <c r="X6" s="17" t="n">
        <f aca="false">ROUND(O6*(1+H6),4)</f>
        <v>0.8692</v>
      </c>
      <c r="Y6" s="14" t="n">
        <f aca="false">ROUND(W6*X6,2)</f>
        <v>12241.19</v>
      </c>
      <c r="Z6" s="17" t="n">
        <f aca="false">ROUND((F6/P6)*(1+H6),4)</f>
        <v>0.9302</v>
      </c>
      <c r="AA6" s="18" t="n">
        <f aca="false">MIN(E6,ROUNDDOWN((Q6/G6)*Z6^(-Parametros!$B$6),0))</f>
        <v>1500</v>
      </c>
      <c r="AB6" s="13" t="n">
        <f aca="false">ROUND(AA6*F6,2)</f>
        <v>16380</v>
      </c>
      <c r="AC6" s="19" t="n">
        <f aca="false">ROUND(AB6-W6,2)</f>
        <v>2296.72</v>
      </c>
      <c r="AD6" s="13" t="n">
        <f aca="false">ROUND(I6+AC6,2)</f>
        <v>52296.72</v>
      </c>
      <c r="AE6" s="20" t="str">
        <f aca="false">IF(W6&lt;=I6,"Sí","No: excede el capital")</f>
        <v>Sí</v>
      </c>
      <c r="AF6" s="21" t="str">
        <f aca="false">IF(AA6&lt;E6,"Vendiste "&amp;AA6&amp;" de "&amp;E6&amp;" unidades. ","Vendiste las "&amp;E6&amp;" unidades enviadas. ")&amp;IF(ABS(Z6-1)&lt;0.005,"Tu precio en moneda local quedó igual al de referencia","Tu precio en moneda local quedó "&amp;ROUND(ABS(Z6-1)*100,0)&amp;" % "&amp;IF(Z6&gt;1,"por encima","por debajo")&amp;" del de referencia")&amp;IF(G6&gt;1," y competiste con "&amp;(G6-1)&amp;" equipo(s) más. "," y no tuviste competencia en ese mercado. ")&amp;IF(V6&gt;0,"El arancel se llevó el "&amp;ROUND(V6/W6*100,0)&amp;" % de tu costo total. ","Este mercado no cobra arancel a tu producto. ")&amp;IF(AC6&lt;0,"Resultado: pérdida.","Resultado: utilidad.")</f>
        <v>Vendiste las 1500 unidades enviadas. Tu precio en moneda local quedó 7 % por debajo del de referencia y competiste con 2 equipo(s) más. El arancel se llevó el 5 % de tu costo total. Resultado: utilidad.</v>
      </c>
      <c r="AG6" s="20" t="str">
        <f aca="false">INDEX(Paises!$B:$B,MATCH(B6,Paises!$A:$A,0))&amp;" / "&amp;INDEX(Productos!$B:$B,MATCH(C6,Productos!$A:$A,0))</f>
        <v>Países Bajos / Piña</v>
      </c>
    </row>
    <row r="7" customFormat="false" ht="33.75" hidden="false" customHeight="true" outlineLevel="0" collapsed="false">
      <c r="A7" s="8" t="s">
        <v>63</v>
      </c>
      <c r="B7" s="8" t="s">
        <v>64</v>
      </c>
      <c r="C7" s="8" t="s">
        <v>65</v>
      </c>
      <c r="D7" s="8" t="s">
        <v>59</v>
      </c>
      <c r="E7" s="9" t="n">
        <v>40</v>
      </c>
      <c r="F7" s="10" t="n">
        <v>346.78</v>
      </c>
      <c r="G7" s="11" t="n">
        <v>2</v>
      </c>
      <c r="H7" s="12" t="n">
        <v>0</v>
      </c>
      <c r="I7" s="13" t="n">
        <f aca="false">Parametros!$B$5</f>
        <v>50000</v>
      </c>
      <c r="J7" s="13" t="n">
        <f aca="false">INDEX(Productos!$F:$F,MATCH(C7,Productos!$A:$A,0))</f>
        <v>281.83</v>
      </c>
      <c r="K7" s="14" t="n">
        <f aca="false">INDEX(Productos!$E:$E,MATCH(C7,Productos!$A:$A,0))</f>
        <v>46</v>
      </c>
      <c r="L7" s="13" t="n">
        <f aca="false">INDEX(Rutas!$E:$E,MATCH(B7&amp;"|"&amp;D7,Rutas!$A:$A,0))</f>
        <v>0.19</v>
      </c>
      <c r="M7" s="15" t="n">
        <f aca="false">INDEX(Rutas!$F:$F,MATCH(B7&amp;"|"&amp;D7,Rutas!$A:$A,0))</f>
        <v>0.005</v>
      </c>
      <c r="N7" s="16" t="n">
        <f aca="false">INDEX(Aranceles!$F:$F,MATCH(B7&amp;"|"&amp;C7,Aranceles!$A:$A,0))</f>
        <v>0</v>
      </c>
      <c r="O7" s="17" t="n">
        <f aca="false">INDEX(Paises!$E:$E,MATCH(B7,Paises!$A:$A,0))</f>
        <v>0.8692</v>
      </c>
      <c r="P7" s="13" t="n">
        <f aca="false">INDEX(Demanda!$F:$F,MATCH(B7&amp;"|"&amp;C7,Demanda!$A:$A,0))</f>
        <v>365.03</v>
      </c>
      <c r="Q7" s="18" t="n">
        <f aca="false">INDEX(Demanda!$G:$G,MATCH(B7&amp;"|"&amp;C7,Demanda!$A:$A,0))</f>
        <v>90</v>
      </c>
      <c r="R7" s="13" t="n">
        <f aca="false">ROUND(E7*J7,2)</f>
        <v>11273.2</v>
      </c>
      <c r="S7" s="13" t="n">
        <f aca="false">ROUND(E7*K7*L7,2)</f>
        <v>349.6</v>
      </c>
      <c r="T7" s="13" t="n">
        <f aca="false">ROUND((R7+S7)*M7,2)</f>
        <v>58.11</v>
      </c>
      <c r="U7" s="13" t="n">
        <f aca="false">ROUND(R7+S7+T7,2)</f>
        <v>11680.91</v>
      </c>
      <c r="V7" s="13" t="n">
        <f aca="false">ROUND(U7*N7,2)</f>
        <v>0</v>
      </c>
      <c r="W7" s="19" t="n">
        <f aca="false">ROUND(U7+V7,2)</f>
        <v>11680.91</v>
      </c>
      <c r="X7" s="17" t="n">
        <f aca="false">ROUND(O7*(1+H7),4)</f>
        <v>0.8692</v>
      </c>
      <c r="Y7" s="14" t="n">
        <f aca="false">ROUND(W7*X7,2)</f>
        <v>10153.05</v>
      </c>
      <c r="Z7" s="17" t="n">
        <f aca="false">ROUND((F7/P7)*(1+H7),4)</f>
        <v>0.95</v>
      </c>
      <c r="AA7" s="18" t="n">
        <f aca="false">MIN(E7,ROUNDDOWN((Q7/G7)*Z7^(-Parametros!$B$6),0))</f>
        <v>40</v>
      </c>
      <c r="AB7" s="13" t="n">
        <f aca="false">ROUND(AA7*F7,2)</f>
        <v>13871.2</v>
      </c>
      <c r="AC7" s="19" t="n">
        <f aca="false">ROUND(AB7-W7,2)</f>
        <v>2190.29</v>
      </c>
      <c r="AD7" s="13" t="n">
        <f aca="false">ROUND(I7+AC7,2)</f>
        <v>52190.29</v>
      </c>
      <c r="AE7" s="20" t="str">
        <f aca="false">IF(W7&lt;=I7,"Sí","No: excede el capital")</f>
        <v>Sí</v>
      </c>
      <c r="AF7" s="21" t="str">
        <f aca="false">IF(AA7&lt;E7,"Vendiste "&amp;AA7&amp;" de "&amp;E7&amp;" unidades. ","Vendiste las "&amp;E7&amp;" unidades enviadas. ")&amp;IF(ABS(Z7-1)&lt;0.005,"Tu precio en moneda local quedó igual al de referencia","Tu precio en moneda local quedó "&amp;ROUND(ABS(Z7-1)*100,0)&amp;" % "&amp;IF(Z7&gt;1,"por encima","por debajo")&amp;" del de referencia")&amp;IF(G7&gt;1," y competiste con "&amp;(G7-1)&amp;" equipo(s) más. "," y no tuviste competencia en ese mercado. ")&amp;IF(V7&gt;0,"El arancel se llevó el "&amp;ROUND(V7/W7*100,0)&amp;" % de tu costo total. ","Este mercado no cobra arancel a tu producto. ")&amp;IF(AC7&lt;0,"Resultado: pérdida.","Resultado: utilidad.")</f>
        <v>Vendiste las 40 unidades enviadas. Tu precio en moneda local quedó 5 % por debajo del de referencia y competiste con 1 equipo(s) más. Este mercado no cobra arancel a tu producto. Resultado: utilidad.</v>
      </c>
      <c r="AG7" s="20" t="str">
        <f aca="false">INDEX(Paises!$B:$B,MATCH(B7,Paises!$A:$A,0))&amp;" / "&amp;INDEX(Productos!$B:$B,MATCH(C7,Productos!$A:$A,0))</f>
        <v>Alemania / Café oro (verde)</v>
      </c>
    </row>
    <row r="8" customFormat="false" ht="33.75" hidden="false" customHeight="true" outlineLevel="0" collapsed="false">
      <c r="A8" s="8" t="s">
        <v>66</v>
      </c>
      <c r="B8" s="8" t="s">
        <v>67</v>
      </c>
      <c r="C8" s="8" t="s">
        <v>68</v>
      </c>
      <c r="D8" s="8" t="s">
        <v>69</v>
      </c>
      <c r="E8" s="9" t="n">
        <v>100</v>
      </c>
      <c r="F8" s="10" t="n">
        <v>180.71</v>
      </c>
      <c r="G8" s="11" t="n">
        <v>2</v>
      </c>
      <c r="H8" s="12" t="n">
        <v>0.04</v>
      </c>
      <c r="I8" s="13" t="n">
        <f aca="false">Parametros!$B$5</f>
        <v>50000</v>
      </c>
      <c r="J8" s="13" t="n">
        <f aca="false">INDEX(Productos!$F:$F,MATCH(C8,Productos!$A:$A,0))</f>
        <v>116.56</v>
      </c>
      <c r="K8" s="14" t="n">
        <f aca="false">INDEX(Productos!$E:$E,MATCH(C8,Productos!$A:$A,0))</f>
        <v>12</v>
      </c>
      <c r="L8" s="13" t="n">
        <f aca="false">INDEX(Rutas!$E:$E,MATCH(B8&amp;"|"&amp;D8,Rutas!$A:$A,0))</f>
        <v>3.9</v>
      </c>
      <c r="M8" s="15" t="n">
        <f aca="false">INDEX(Rutas!$F:$F,MATCH(B8&amp;"|"&amp;D8,Rutas!$A:$A,0))</f>
        <v>0.0035</v>
      </c>
      <c r="N8" s="16" t="n">
        <f aca="false">INDEX(Aranceles!$F:$F,MATCH(B8&amp;"|"&amp;C8,Aranceles!$A:$A,0))</f>
        <v>0.12</v>
      </c>
      <c r="O8" s="17" t="n">
        <f aca="false">INDEX(Paises!$E:$E,MATCH(B8,Paises!$A:$A,0))</f>
        <v>156.4171</v>
      </c>
      <c r="P8" s="13" t="n">
        <f aca="false">INDEX(Demanda!$F:$F,MATCH(B8&amp;"|"&amp;C8,Demanda!$A:$A,0))</f>
        <v>172.1</v>
      </c>
      <c r="Q8" s="18" t="n">
        <f aca="false">INDEX(Demanda!$G:$G,MATCH(B8&amp;"|"&amp;C8,Demanda!$A:$A,0))</f>
        <v>150</v>
      </c>
      <c r="R8" s="13" t="n">
        <f aca="false">ROUND(E8*J8,2)</f>
        <v>11656</v>
      </c>
      <c r="S8" s="13" t="n">
        <f aca="false">ROUND(E8*K8*L8,2)</f>
        <v>4680</v>
      </c>
      <c r="T8" s="13" t="n">
        <f aca="false">ROUND((R8+S8)*M8,2)</f>
        <v>57.18</v>
      </c>
      <c r="U8" s="13" t="n">
        <f aca="false">ROUND(R8+S8+T8,2)</f>
        <v>16393.18</v>
      </c>
      <c r="V8" s="13" t="n">
        <f aca="false">ROUND(U8*N8,2)</f>
        <v>1967.18</v>
      </c>
      <c r="W8" s="19" t="n">
        <f aca="false">ROUND(U8+V8,2)</f>
        <v>18360.36</v>
      </c>
      <c r="X8" s="17" t="n">
        <f aca="false">ROUND(O8*(1+H8),4)</f>
        <v>162.6738</v>
      </c>
      <c r="Y8" s="14" t="n">
        <f aca="false">ROUND(W8*X8,2)</f>
        <v>2986749.53</v>
      </c>
      <c r="Z8" s="17" t="n">
        <f aca="false">ROUND((F8/P8)*(1+H8),4)</f>
        <v>1.092</v>
      </c>
      <c r="AA8" s="18" t="n">
        <f aca="false">MIN(E8,ROUNDDOWN((Q8/G8)*Z8^(-Parametros!$B$6),0))</f>
        <v>65</v>
      </c>
      <c r="AB8" s="13" t="n">
        <f aca="false">ROUND(AA8*F8,2)</f>
        <v>11746.15</v>
      </c>
      <c r="AC8" s="19" t="n">
        <f aca="false">ROUND(AB8-W8,2)</f>
        <v>-6614.21</v>
      </c>
      <c r="AD8" s="13" t="n">
        <f aca="false">ROUND(I8+AC8,2)</f>
        <v>43385.79</v>
      </c>
      <c r="AE8" s="20" t="str">
        <f aca="false">IF(W8&lt;=I8,"Sí","No: excede el capital")</f>
        <v>Sí</v>
      </c>
      <c r="AF8" s="21" t="str">
        <f aca="false">IF(AA8&lt;E8,"Vendiste "&amp;AA8&amp;" de "&amp;E8&amp;" unidades. ","Vendiste las "&amp;E8&amp;" unidades enviadas. ")&amp;IF(ABS(Z8-1)&lt;0.005,"Tu precio en moneda local quedó igual al de referencia","Tu precio en moneda local quedó "&amp;ROUND(ABS(Z8-1)*100,0)&amp;" % "&amp;IF(Z8&gt;1,"por encima","por debajo")&amp;" del de referencia")&amp;IF(G8&gt;1," y competiste con "&amp;(G8-1)&amp;" equipo(s) más. "," y no tuviste competencia en ese mercado. ")&amp;IF(V8&gt;0,"El arancel se llevó el "&amp;ROUND(V8/W8*100,0)&amp;" % de tu costo total. ","Este mercado no cobra arancel a tu producto. ")&amp;IF(AC8&lt;0,"Resultado: pérdida.","Resultado: utilidad.")</f>
        <v>Vendiste 65 de 100 unidades. Tu precio en moneda local quedó 9 % por encima del de referencia y competiste con 1 equipo(s) más. El arancel se llevó el 11 % de tu costo total. Resultado: pérdida.</v>
      </c>
      <c r="AG8" s="20" t="str">
        <f aca="false">INDEX(Paises!$B:$B,MATCH(B8,Paises!$A:$A,0))&amp;" / "&amp;INDEX(Productos!$B:$B,MATCH(C8,Productos!$A:$A,0))</f>
        <v>Japón / Café tostado</v>
      </c>
    </row>
    <row r="9" customFormat="false" ht="33.75" hidden="false" customHeight="true" outlineLevel="0" collapsed="false">
      <c r="A9" s="8" t="s">
        <v>70</v>
      </c>
      <c r="B9" s="8" t="s">
        <v>71</v>
      </c>
      <c r="C9" s="8" t="s">
        <v>72</v>
      </c>
      <c r="D9" s="8" t="s">
        <v>59</v>
      </c>
      <c r="E9" s="9" t="n">
        <v>1200</v>
      </c>
      <c r="F9" s="10" t="n">
        <v>17.98</v>
      </c>
      <c r="G9" s="11" t="n">
        <v>3</v>
      </c>
      <c r="H9" s="12" t="n">
        <v>0</v>
      </c>
      <c r="I9" s="13" t="n">
        <f aca="false">Parametros!$B$5</f>
        <v>50000</v>
      </c>
      <c r="J9" s="13" t="n">
        <f aca="false">INDEX(Productos!$F:$F,MATCH(C9,Productos!$A:$A,0))</f>
        <v>11.1</v>
      </c>
      <c r="K9" s="14" t="n">
        <f aca="false">INDEX(Productos!$E:$E,MATCH(C9,Productos!$A:$A,0))</f>
        <v>15</v>
      </c>
      <c r="L9" s="13" t="n">
        <f aca="false">INDEX(Rutas!$E:$E,MATCH(B9&amp;"|"&amp;D9,Rutas!$A:$A,0))</f>
        <v>0.19</v>
      </c>
      <c r="M9" s="15" t="n">
        <f aca="false">INDEX(Rutas!$F:$F,MATCH(B9&amp;"|"&amp;D9,Rutas!$A:$A,0))</f>
        <v>0.005</v>
      </c>
      <c r="N9" s="16" t="n">
        <f aca="false">INDEX(Aranceles!$F:$F,MATCH(B9&amp;"|"&amp;C9,Aranceles!$A:$A,0))</f>
        <v>0.08</v>
      </c>
      <c r="O9" s="17" t="n">
        <f aca="false">INDEX(Paises!$E:$E,MATCH(B9,Paises!$A:$A,0))</f>
        <v>0.7459</v>
      </c>
      <c r="P9" s="13" t="n">
        <f aca="false">INDEX(Demanda!$F:$F,MATCH(B9&amp;"|"&amp;C9,Demanda!$A:$A,0))</f>
        <v>18.93</v>
      </c>
      <c r="Q9" s="18" t="n">
        <f aca="false">INDEX(Demanda!$G:$G,MATCH(B9&amp;"|"&amp;C9,Demanda!$A:$A,0))</f>
        <v>3600</v>
      </c>
      <c r="R9" s="13" t="n">
        <f aca="false">ROUND(E9*J9,2)</f>
        <v>13320</v>
      </c>
      <c r="S9" s="13" t="n">
        <f aca="false">ROUND(E9*K9*L9,2)</f>
        <v>3420</v>
      </c>
      <c r="T9" s="13" t="n">
        <f aca="false">ROUND((R9+S9)*M9,2)</f>
        <v>83.7</v>
      </c>
      <c r="U9" s="13" t="n">
        <f aca="false">ROUND(R9+S9+T9,2)</f>
        <v>16823.7</v>
      </c>
      <c r="V9" s="13" t="n">
        <f aca="false">ROUND(U9*N9,2)</f>
        <v>1345.9</v>
      </c>
      <c r="W9" s="19" t="n">
        <f aca="false">ROUND(U9+V9,2)</f>
        <v>18169.6</v>
      </c>
      <c r="X9" s="17" t="n">
        <f aca="false">ROUND(O9*(1+H9),4)</f>
        <v>0.7459</v>
      </c>
      <c r="Y9" s="14" t="n">
        <f aca="false">ROUND(W9*X9,2)</f>
        <v>13552.7</v>
      </c>
      <c r="Z9" s="17" t="n">
        <f aca="false">ROUND((F9/P9)*(1+H9),4)</f>
        <v>0.9498</v>
      </c>
      <c r="AA9" s="18" t="n">
        <f aca="false">MIN(E9,ROUNDDOWN((Q9/G9)*Z9^(-Parametros!$B$6),0))</f>
        <v>1200</v>
      </c>
      <c r="AB9" s="13" t="n">
        <f aca="false">ROUND(AA9*F9,2)</f>
        <v>21576</v>
      </c>
      <c r="AC9" s="19" t="n">
        <f aca="false">ROUND(AB9-W9,2)</f>
        <v>3406.4</v>
      </c>
      <c r="AD9" s="13" t="n">
        <f aca="false">ROUND(I9+AC9,2)</f>
        <v>53406.4</v>
      </c>
      <c r="AE9" s="20" t="str">
        <f aca="false">IF(W9&lt;=I9,"Sí","No: excede el capital")</f>
        <v>Sí</v>
      </c>
      <c r="AF9" s="21" t="str">
        <f aca="false">IF(AA9&lt;E9,"Vendiste "&amp;AA9&amp;" de "&amp;E9&amp;" unidades. ","Vendiste las "&amp;E9&amp;" unidades enviadas. ")&amp;IF(ABS(Z9-1)&lt;0.005,"Tu precio en moneda local quedó igual al de referencia","Tu precio en moneda local quedó "&amp;ROUND(ABS(Z9-1)*100,0)&amp;" % "&amp;IF(Z9&gt;1,"por encima","por debajo")&amp;" del de referencia")&amp;IF(G9&gt;1," y competiste con "&amp;(G9-1)&amp;" equipo(s) más. "," y no tuviste competencia en ese mercado. ")&amp;IF(V9&gt;0,"El arancel se llevó el "&amp;ROUND(V9/W9*100,0)&amp;" % de tu costo total. ","Este mercado no cobra arancel a tu producto. ")&amp;IF(AC9&lt;0,"Resultado: pérdida.","Resultado: utilidad.")</f>
        <v>Vendiste las 1200 unidades enviadas. Tu precio en moneda local quedó 5 % por debajo del de referencia y competiste con 2 equipo(s) más. El arancel se llevó el 7 % de tu costo total. Resultado: utilidad.</v>
      </c>
      <c r="AG9" s="20" t="str">
        <f aca="false">INDEX(Paises!$B:$B,MATCH(B9,Paises!$A:$A,0))&amp;" / "&amp;INDEX(Productos!$B:$B,MATCH(C9,Productos!$A:$A,0))</f>
        <v>Reino Unido / Melón</v>
      </c>
    </row>
    <row r="10" customFormat="false" ht="33.75" hidden="false" customHeight="true" outlineLevel="0" collapsed="false">
      <c r="A10" s="8" t="s">
        <v>73</v>
      </c>
      <c r="B10" s="8" t="s">
        <v>74</v>
      </c>
      <c r="C10" s="8" t="s">
        <v>75</v>
      </c>
      <c r="D10" s="8" t="s">
        <v>69</v>
      </c>
      <c r="E10" s="9" t="n">
        <v>800</v>
      </c>
      <c r="F10" s="10" t="n">
        <v>9.18</v>
      </c>
      <c r="G10" s="11" t="n">
        <v>2</v>
      </c>
      <c r="H10" s="12" t="n">
        <v>0</v>
      </c>
      <c r="I10" s="13" t="n">
        <f aca="false">Parametros!$B$5</f>
        <v>50000</v>
      </c>
      <c r="J10" s="13" t="n">
        <f aca="false">INDEX(Productos!$F:$F,MATCH(C10,Productos!$A:$A,0))</f>
        <v>5.5</v>
      </c>
      <c r="K10" s="14" t="n">
        <f aca="false">INDEX(Productos!$E:$E,MATCH(C10,Productos!$A:$A,0))</f>
        <v>4</v>
      </c>
      <c r="L10" s="13" t="n">
        <f aca="false">INDEX(Rutas!$E:$E,MATCH(B10&amp;"|"&amp;D10,Rutas!$A:$A,0))</f>
        <v>2.2</v>
      </c>
      <c r="M10" s="15" t="n">
        <f aca="false">INDEX(Rutas!$F:$F,MATCH(B10&amp;"|"&amp;D10,Rutas!$A:$A,0))</f>
        <v>0.0035</v>
      </c>
      <c r="N10" s="16" t="n">
        <f aca="false">INDEX(Aranceles!$F:$F,MATCH(B10&amp;"|"&amp;C10,Aranceles!$A:$A,0))</f>
        <v>0</v>
      </c>
      <c r="O10" s="17" t="n">
        <f aca="false">INDEX(Paises!$E:$E,MATCH(B10,Paises!$A:$A,0))</f>
        <v>1.3972</v>
      </c>
      <c r="P10" s="13" t="n">
        <f aca="false">INDEX(Demanda!$F:$F,MATCH(B10&amp;"|"&amp;C10,Demanda!$A:$A,0))</f>
        <v>8.42</v>
      </c>
      <c r="Q10" s="18" t="n">
        <f aca="false">INDEX(Demanda!$G:$G,MATCH(B10&amp;"|"&amp;C10,Demanda!$A:$A,0))</f>
        <v>1000</v>
      </c>
      <c r="R10" s="13" t="n">
        <f aca="false">ROUND(E10*J10,2)</f>
        <v>4400</v>
      </c>
      <c r="S10" s="13" t="n">
        <f aca="false">ROUND(E10*K10*L10,2)</f>
        <v>7040</v>
      </c>
      <c r="T10" s="13" t="n">
        <f aca="false">ROUND((R10+S10)*M10,2)</f>
        <v>40.04</v>
      </c>
      <c r="U10" s="13" t="n">
        <f aca="false">ROUND(R10+S10+T10,2)</f>
        <v>11480.04</v>
      </c>
      <c r="V10" s="13" t="n">
        <f aca="false">ROUND(U10*N10,2)</f>
        <v>0</v>
      </c>
      <c r="W10" s="19" t="n">
        <f aca="false">ROUND(U10+V10,2)</f>
        <v>11480.04</v>
      </c>
      <c r="X10" s="17" t="n">
        <f aca="false">ROUND(O10*(1+H10),4)</f>
        <v>1.3972</v>
      </c>
      <c r="Y10" s="14" t="n">
        <f aca="false">ROUND(W10*X10,2)</f>
        <v>16039.91</v>
      </c>
      <c r="Z10" s="17" t="n">
        <f aca="false">ROUND((F10/P10)*(1+H10),4)</f>
        <v>1.0903</v>
      </c>
      <c r="AA10" s="18" t="n">
        <f aca="false">MIN(E10,ROUNDDOWN((Q10/G10)*Z10^(-Parametros!$B$6),0))</f>
        <v>439</v>
      </c>
      <c r="AB10" s="13" t="n">
        <f aca="false">ROUND(AA10*F10,2)</f>
        <v>4030.02</v>
      </c>
      <c r="AC10" s="19" t="n">
        <f aca="false">ROUND(AB10-W10,2)</f>
        <v>-7450.02</v>
      </c>
      <c r="AD10" s="13" t="n">
        <f aca="false">ROUND(I10+AC10,2)</f>
        <v>42549.98</v>
      </c>
      <c r="AE10" s="20" t="str">
        <f aca="false">IF(W10&lt;=I10,"Sí","No: excede el capital")</f>
        <v>Sí</v>
      </c>
      <c r="AF10" s="21" t="str">
        <f aca="false">IF(AA10&lt;E10,"Vendiste "&amp;AA10&amp;" de "&amp;E10&amp;" unidades. ","Vendiste las "&amp;E10&amp;" unidades enviadas. ")&amp;IF(ABS(Z10-1)&lt;0.005,"Tu precio en moneda local quedó igual al de referencia","Tu precio en moneda local quedó "&amp;ROUND(ABS(Z10-1)*100,0)&amp;" % "&amp;IF(Z10&gt;1,"por encima","por debajo")&amp;" del de referencia")&amp;IF(G10&gt;1," y competiste con "&amp;(G10-1)&amp;" equipo(s) más. "," y no tuviste competencia en ese mercado. ")&amp;IF(V10&gt;0,"El arancel se llevó el "&amp;ROUND(V10/W10*100,0)&amp;" % de tu costo total. ","Este mercado no cobra arancel a tu producto. ")&amp;IF(AC10&lt;0,"Resultado: pérdida.","Resultado: utilidad.")</f>
        <v>Vendiste 439 de 800 unidades. Tu precio en moneda local quedó 9 % por encima del de referencia y competiste con 1 equipo(s) más. Este mercado no cobra arancel a tu producto. Resultado: pérdida.</v>
      </c>
      <c r="AG10" s="20" t="str">
        <f aca="false">INDEX(Paises!$B:$B,MATCH(B10,Paises!$A:$A,0))&amp;" / "&amp;INDEX(Productos!$B:$B,MATCH(C10,Productos!$A:$A,0))</f>
        <v>Canadá / Mango</v>
      </c>
    </row>
    <row r="11" customFormat="false" ht="33.75" hidden="false" customHeight="true" outlineLevel="0" collapsed="false">
      <c r="A11" s="8" t="s">
        <v>76</v>
      </c>
      <c r="B11" s="8" t="s">
        <v>57</v>
      </c>
      <c r="C11" s="8" t="s">
        <v>77</v>
      </c>
      <c r="D11" s="8" t="s">
        <v>59</v>
      </c>
      <c r="E11" s="9" t="n">
        <v>900</v>
      </c>
      <c r="F11" s="10" t="n">
        <v>33.34</v>
      </c>
      <c r="G11" s="11" t="n">
        <v>2</v>
      </c>
      <c r="H11" s="12" t="n">
        <v>0</v>
      </c>
      <c r="I11" s="13" t="n">
        <f aca="false">Parametros!$B$5</f>
        <v>50000</v>
      </c>
      <c r="J11" s="13" t="n">
        <f aca="false">INDEX(Productos!$F:$F,MATCH(C11,Productos!$A:$A,0))</f>
        <v>19.47</v>
      </c>
      <c r="K11" s="14" t="n">
        <f aca="false">INDEX(Productos!$E:$E,MATCH(C11,Productos!$A:$A,0))</f>
        <v>18</v>
      </c>
      <c r="L11" s="13" t="n">
        <f aca="false">INDEX(Rutas!$E:$E,MATCH(B11&amp;"|"&amp;D11,Rutas!$A:$A,0))</f>
        <v>0.18</v>
      </c>
      <c r="M11" s="15" t="n">
        <f aca="false">INDEX(Rutas!$F:$F,MATCH(B11&amp;"|"&amp;D11,Rutas!$A:$A,0))</f>
        <v>0.005</v>
      </c>
      <c r="N11" s="16" t="n">
        <f aca="false">INDEX(Aranceles!$F:$F,MATCH(B11&amp;"|"&amp;C11,Aranceles!$A:$A,0))</f>
        <v>0.113</v>
      </c>
      <c r="O11" s="17" t="n">
        <f aca="false">INDEX(Paises!$E:$E,MATCH(B11,Paises!$A:$A,0))</f>
        <v>1</v>
      </c>
      <c r="P11" s="13" t="n">
        <f aca="false">INDEX(Demanda!$F:$F,MATCH(B11&amp;"|"&amp;C11,Demanda!$A:$A,0))</f>
        <v>31.75</v>
      </c>
      <c r="Q11" s="18" t="n">
        <f aca="false">INDEX(Demanda!$G:$G,MATCH(B11&amp;"|"&amp;C11,Demanda!$A:$A,0))</f>
        <v>1200</v>
      </c>
      <c r="R11" s="13" t="n">
        <f aca="false">ROUND(E11*J11,2)</f>
        <v>17523</v>
      </c>
      <c r="S11" s="13" t="n">
        <f aca="false">ROUND(E11*K11*L11,2)</f>
        <v>2916</v>
      </c>
      <c r="T11" s="13" t="n">
        <f aca="false">ROUND((R11+S11)*M11,2)</f>
        <v>102.2</v>
      </c>
      <c r="U11" s="13" t="n">
        <f aca="false">ROUND(R11+S11+T11,2)</f>
        <v>20541.2</v>
      </c>
      <c r="V11" s="13" t="n">
        <f aca="false">ROUND(U11*N11,2)</f>
        <v>2321.16</v>
      </c>
      <c r="W11" s="19" t="n">
        <f aca="false">ROUND(U11+V11,2)</f>
        <v>22862.36</v>
      </c>
      <c r="X11" s="17" t="n">
        <f aca="false">ROUND(O11*(1+H11),4)</f>
        <v>1</v>
      </c>
      <c r="Y11" s="14" t="n">
        <f aca="false">ROUND(W11*X11,2)</f>
        <v>22862.36</v>
      </c>
      <c r="Z11" s="17" t="n">
        <f aca="false">ROUND((F11/P11)*(1+H11),4)</f>
        <v>1.0501</v>
      </c>
      <c r="AA11" s="18" t="n">
        <f aca="false">MIN(E11,ROUNDDOWN((Q11/G11)*Z11^(-Parametros!$B$6),0))</f>
        <v>557</v>
      </c>
      <c r="AB11" s="13" t="n">
        <f aca="false">ROUND(AA11*F11,2)</f>
        <v>18570.38</v>
      </c>
      <c r="AC11" s="19" t="n">
        <f aca="false">ROUND(AB11-W11,2)</f>
        <v>-4291.98</v>
      </c>
      <c r="AD11" s="13" t="n">
        <f aca="false">ROUND(I11+AC11,2)</f>
        <v>45708.02</v>
      </c>
      <c r="AE11" s="20" t="str">
        <f aca="false">IF(W11&lt;=I11,"Sí","No: excede el capital")</f>
        <v>Sí</v>
      </c>
      <c r="AF11" s="21" t="str">
        <f aca="false">IF(AA11&lt;E11,"Vendiste "&amp;AA11&amp;" de "&amp;E11&amp;" unidades. ","Vendiste las "&amp;E11&amp;" unidades enviadas. ")&amp;IF(ABS(Z11-1)&lt;0.005,"Tu precio en moneda local quedó igual al de referencia","Tu precio en moneda local quedó "&amp;ROUND(ABS(Z11-1)*100,0)&amp;" % "&amp;IF(Z11&gt;1,"por encima","por debajo")&amp;" del de referencia")&amp;IF(G11&gt;1," y competiste con "&amp;(G11-1)&amp;" equipo(s) más. "," y no tuviste competencia en ese mercado. ")&amp;IF(V11&gt;0,"El arancel se llevó el "&amp;ROUND(V11/W11*100,0)&amp;" % de tu costo total. ","Este mercado no cobra arancel a tu producto. ")&amp;IF(AC11&lt;0,"Resultado: pérdida.","Resultado: utilidad.")</f>
        <v>Vendiste 557 de 900 unidades. Tu precio en moneda local quedó 5 % por encima del de referencia y competiste con 1 equipo(s) más. El arancel se llevó el 10 % de tu costo total. Resultado: pérdida.</v>
      </c>
      <c r="AG11" s="20" t="str">
        <f aca="false">INDEX(Paises!$B:$B,MATCH(B11,Paises!$A:$A,0))&amp;" / "&amp;INDEX(Productos!$B:$B,MATCH(C11,Productos!$A:$A,0))</f>
        <v>Estados Unidos / Yuca</v>
      </c>
    </row>
    <row r="12" customFormat="false" ht="33.75" hidden="false" customHeight="true" outlineLevel="0" collapsed="false">
      <c r="A12" s="8" t="s">
        <v>78</v>
      </c>
      <c r="B12" s="8" t="s">
        <v>79</v>
      </c>
      <c r="C12" s="8" t="s">
        <v>80</v>
      </c>
      <c r="D12" s="8" t="s">
        <v>69</v>
      </c>
      <c r="E12" s="9" t="n">
        <v>200</v>
      </c>
      <c r="F12" s="10" t="n">
        <v>69.47</v>
      </c>
      <c r="G12" s="11" t="n">
        <v>2</v>
      </c>
      <c r="H12" s="12" t="n">
        <v>-0.03</v>
      </c>
      <c r="I12" s="13" t="n">
        <f aca="false">Parametros!$B$5</f>
        <v>50000</v>
      </c>
      <c r="J12" s="13" t="n">
        <f aca="false">INDEX(Productos!$F:$F,MATCH(C12,Productos!$A:$A,0))</f>
        <v>25</v>
      </c>
      <c r="K12" s="14" t="n">
        <f aca="false">INDEX(Productos!$E:$E,MATCH(C12,Productos!$A:$A,0))</f>
        <v>10</v>
      </c>
      <c r="L12" s="13" t="n">
        <f aca="false">INDEX(Rutas!$E:$E,MATCH(B12&amp;"|"&amp;D12,Rutas!$A:$A,0))</f>
        <v>2.7</v>
      </c>
      <c r="M12" s="15" t="n">
        <f aca="false">INDEX(Rutas!$F:$F,MATCH(B12&amp;"|"&amp;D12,Rutas!$A:$A,0))</f>
        <v>0.0035</v>
      </c>
      <c r="N12" s="16" t="n">
        <f aca="false">INDEX(Aranceles!$F:$F,MATCH(B12&amp;"|"&amp;C12,Aranceles!$A:$A,0))</f>
        <v>0.065</v>
      </c>
      <c r="O12" s="17" t="n">
        <f aca="false">INDEX(Paises!$E:$E,MATCH(B12,Paises!$A:$A,0))</f>
        <v>0.8692</v>
      </c>
      <c r="P12" s="13" t="n">
        <f aca="false">INDEX(Demanda!$F:$F,MATCH(B12&amp;"|"&amp;C12,Demanda!$A:$A,0))</f>
        <v>69.47</v>
      </c>
      <c r="Q12" s="18" t="n">
        <f aca="false">INDEX(Demanda!$G:$G,MATCH(B12&amp;"|"&amp;C12,Demanda!$A:$A,0))</f>
        <v>400</v>
      </c>
      <c r="R12" s="13" t="n">
        <f aca="false">ROUND(E12*J12,2)</f>
        <v>5000</v>
      </c>
      <c r="S12" s="13" t="n">
        <f aca="false">ROUND(E12*K12*L12,2)</f>
        <v>5400</v>
      </c>
      <c r="T12" s="13" t="n">
        <f aca="false">ROUND((R12+S12)*M12,2)</f>
        <v>36.4</v>
      </c>
      <c r="U12" s="13" t="n">
        <f aca="false">ROUND(R12+S12+T12,2)</f>
        <v>10436.4</v>
      </c>
      <c r="V12" s="13" t="n">
        <f aca="false">ROUND(U12*N12,2)</f>
        <v>678.37</v>
      </c>
      <c r="W12" s="19" t="n">
        <f aca="false">ROUND(U12+V12,2)</f>
        <v>11114.77</v>
      </c>
      <c r="X12" s="17" t="n">
        <f aca="false">ROUND(O12*(1+H12),4)</f>
        <v>0.8431</v>
      </c>
      <c r="Y12" s="14" t="n">
        <f aca="false">ROUND(W12*X12,2)</f>
        <v>9370.86</v>
      </c>
      <c r="Z12" s="17" t="n">
        <f aca="false">ROUND((F12/P12)*(1+H12),4)</f>
        <v>0.97</v>
      </c>
      <c r="AA12" s="18" t="n">
        <f aca="false">MIN(E12,ROUNDDOWN((Q12/G12)*Z12^(-Parametros!$B$6),0))</f>
        <v>200</v>
      </c>
      <c r="AB12" s="13" t="n">
        <f aca="false">ROUND(AA12*F12,2)</f>
        <v>13894</v>
      </c>
      <c r="AC12" s="19" t="n">
        <f aca="false">ROUND(AB12-W12,2)</f>
        <v>2779.23</v>
      </c>
      <c r="AD12" s="13" t="n">
        <f aca="false">ROUND(I12+AC12,2)</f>
        <v>52779.23</v>
      </c>
      <c r="AE12" s="20" t="str">
        <f aca="false">IF(W12&lt;=I12,"Sí","No: excede el capital")</f>
        <v>Sí</v>
      </c>
      <c r="AF12" s="21" t="str">
        <f aca="false">IF(AA12&lt;E12,"Vendiste "&amp;AA12&amp;" de "&amp;E12&amp;" unidades. ","Vendiste las "&amp;E12&amp;" unidades enviadas. ")&amp;IF(ABS(Z12-1)&lt;0.005,"Tu precio en moneda local quedó igual al de referencia","Tu precio en moneda local quedó "&amp;ROUND(ABS(Z12-1)*100,0)&amp;" % "&amp;IF(Z12&gt;1,"por encima","por debajo")&amp;" del de referencia")&amp;IF(G12&gt;1," y competiste con "&amp;(G12-1)&amp;" equipo(s) más. "," y no tuviste competencia en ese mercado. ")&amp;IF(V12&gt;0,"El arancel se llevó el "&amp;ROUND(V12/W12*100,0)&amp;" % de tu costo total. ","Este mercado no cobra arancel a tu producto. ")&amp;IF(AC12&lt;0,"Resultado: pérdida.","Resultado: utilidad.")</f>
        <v>Vendiste las 200 unidades enviadas. Tu precio en moneda local quedó 3 % por debajo del de referencia y competiste con 1 equipo(s) más. El arancel se llevó el 6 % de tu costo total. Resultado: utilidad.</v>
      </c>
      <c r="AG12" s="20" t="str">
        <f aca="false">INDEX(Paises!$B:$B,MATCH(B12,Paises!$A:$A,0))&amp;" / "&amp;INDEX(Productos!$B:$B,MATCH(C12,Productos!$A:$A,0))</f>
        <v>España / Plantas ornamentales</v>
      </c>
    </row>
    <row r="13" customFormat="false" ht="33.75" hidden="false" customHeight="true" outlineLevel="0" collapsed="false">
      <c r="A13" s="8" t="s">
        <v>81</v>
      </c>
      <c r="B13" s="8" t="s">
        <v>82</v>
      </c>
      <c r="C13" s="8" t="s">
        <v>83</v>
      </c>
      <c r="D13" s="8" t="s">
        <v>69</v>
      </c>
      <c r="E13" s="9" t="n">
        <v>60</v>
      </c>
      <c r="F13" s="10" t="n">
        <v>553.4</v>
      </c>
      <c r="G13" s="11" t="n">
        <v>2</v>
      </c>
      <c r="H13" s="12" t="n">
        <v>0.06</v>
      </c>
      <c r="I13" s="13" t="n">
        <f aca="false">Parametros!$B$5</f>
        <v>50000</v>
      </c>
      <c r="J13" s="13" t="n">
        <f aca="false">INDEX(Productos!$F:$F,MATCH(C13,Productos!$A:$A,0))</f>
        <v>450</v>
      </c>
      <c r="K13" s="14" t="n">
        <f aca="false">INDEX(Productos!$E:$E,MATCH(C13,Productos!$A:$A,0))</f>
        <v>8</v>
      </c>
      <c r="L13" s="13" t="n">
        <f aca="false">INDEX(Rutas!$E:$E,MATCH(B13&amp;"|"&amp;D13,Rutas!$A:$A,0))</f>
        <v>1.8</v>
      </c>
      <c r="M13" s="15" t="n">
        <f aca="false">INDEX(Rutas!$F:$F,MATCH(B13&amp;"|"&amp;D13,Rutas!$A:$A,0))</f>
        <v>0.0035</v>
      </c>
      <c r="N13" s="16" t="n">
        <f aca="false">INDEX(Aranceles!$F:$F,MATCH(B13&amp;"|"&amp;C13,Aranceles!$A:$A,0))</f>
        <v>0</v>
      </c>
      <c r="O13" s="17" t="n">
        <f aca="false">INDEX(Paises!$E:$E,MATCH(B13,Paises!$A:$A,0))</f>
        <v>17.2695</v>
      </c>
      <c r="P13" s="13" t="n">
        <f aca="false">INDEX(Demanda!$F:$F,MATCH(B13&amp;"|"&amp;C13,Demanda!$A:$A,0))</f>
        <v>582.53</v>
      </c>
      <c r="Q13" s="18" t="n">
        <f aca="false">INDEX(Demanda!$G:$G,MATCH(B13&amp;"|"&amp;C13,Demanda!$A:$A,0))</f>
        <v>100</v>
      </c>
      <c r="R13" s="13" t="n">
        <f aca="false">ROUND(E13*J13,2)</f>
        <v>27000</v>
      </c>
      <c r="S13" s="13" t="n">
        <f aca="false">ROUND(E13*K13*L13,2)</f>
        <v>864</v>
      </c>
      <c r="T13" s="13" t="n">
        <f aca="false">ROUND((R13+S13)*M13,2)</f>
        <v>97.52</v>
      </c>
      <c r="U13" s="13" t="n">
        <f aca="false">ROUND(R13+S13+T13,2)</f>
        <v>27961.52</v>
      </c>
      <c r="V13" s="13" t="n">
        <f aca="false">ROUND(U13*N13,2)</f>
        <v>0</v>
      </c>
      <c r="W13" s="19" t="n">
        <f aca="false">ROUND(U13+V13,2)</f>
        <v>27961.52</v>
      </c>
      <c r="X13" s="17" t="n">
        <f aca="false">ROUND(O13*(1+H13),4)</f>
        <v>18.3057</v>
      </c>
      <c r="Y13" s="14" t="n">
        <f aca="false">ROUND(W13*X13,2)</f>
        <v>511855.2</v>
      </c>
      <c r="Z13" s="17" t="n">
        <f aca="false">ROUND((F13/P13)*(1+H13),4)</f>
        <v>1.007</v>
      </c>
      <c r="AA13" s="18" t="n">
        <f aca="false">MIN(E13,ROUNDDOWN((Q13/G13)*Z13^(-Parametros!$B$6),0))</f>
        <v>49</v>
      </c>
      <c r="AB13" s="13" t="n">
        <f aca="false">ROUND(AA13*F13,2)</f>
        <v>27116.6</v>
      </c>
      <c r="AC13" s="19" t="n">
        <f aca="false">ROUND(AB13-W13,2)</f>
        <v>-844.92</v>
      </c>
      <c r="AD13" s="13" t="n">
        <f aca="false">ROUND(I13+AC13,2)</f>
        <v>49155.08</v>
      </c>
      <c r="AE13" s="20" t="str">
        <f aca="false">IF(W13&lt;=I13,"Sí","No: excede el capital")</f>
        <v>Sí</v>
      </c>
      <c r="AF13" s="21" t="str">
        <f aca="false">IF(AA13&lt;E13,"Vendiste "&amp;AA13&amp;" de "&amp;E13&amp;" unidades. ","Vendiste las "&amp;E13&amp;" unidades enviadas. ")&amp;IF(ABS(Z13-1)&lt;0.005,"Tu precio en moneda local quedó igual al de referencia","Tu precio en moneda local quedó "&amp;ROUND(ABS(Z13-1)*100,0)&amp;" % "&amp;IF(Z13&gt;1,"por encima","por debajo")&amp;" del de referencia")&amp;IF(G13&gt;1," y competiste con "&amp;(G13-1)&amp;" equipo(s) más. "," y no tuviste competencia en ese mercado. ")&amp;IF(V13&gt;0,"El arancel se llevó el "&amp;ROUND(V13/W13*100,0)&amp;" % de tu costo total. ","Este mercado no cobra arancel a tu producto. ")&amp;IF(AC13&lt;0,"Resultado: pérdida.","Resultado: utilidad.")</f>
        <v>Vendiste 49 de 60 unidades. Tu precio en moneda local quedó 1 % por encima del de referencia y competiste con 1 equipo(s) más. Este mercado no cobra arancel a tu producto. Resultado: pérdida.</v>
      </c>
      <c r="AG13" s="20" t="str">
        <f aca="false">INDEX(Paises!$B:$B,MATCH(B13,Paises!$A:$A,0))&amp;" / "&amp;INDEX(Productos!$B:$B,MATCH(C13,Productos!$A:$A,0))</f>
        <v>México / Dispositivos médicos (catéteres)</v>
      </c>
    </row>
    <row r="14" customFormat="false" ht="33.75" hidden="false" customHeight="true" outlineLevel="0" collapsed="false">
      <c r="A14" s="8" t="s">
        <v>84</v>
      </c>
      <c r="B14" s="8" t="s">
        <v>85</v>
      </c>
      <c r="C14" s="8" t="s">
        <v>86</v>
      </c>
      <c r="D14" s="8" t="s">
        <v>59</v>
      </c>
      <c r="E14" s="9" t="n">
        <v>40</v>
      </c>
      <c r="F14" s="10" t="n">
        <v>531.59</v>
      </c>
      <c r="G14" s="11" t="n">
        <v>2</v>
      </c>
      <c r="H14" s="12" t="n">
        <v>0</v>
      </c>
      <c r="I14" s="13" t="n">
        <f aca="false">Parametros!$B$5</f>
        <v>50000</v>
      </c>
      <c r="J14" s="13" t="n">
        <f aca="false">INDEX(Productos!$F:$F,MATCH(C14,Productos!$A:$A,0))</f>
        <v>275</v>
      </c>
      <c r="K14" s="14" t="n">
        <f aca="false">INDEX(Productos!$E:$E,MATCH(C14,Productos!$A:$A,0))</f>
        <v>250</v>
      </c>
      <c r="L14" s="13" t="n">
        <f aca="false">INDEX(Rutas!$E:$E,MATCH(B14&amp;"|"&amp;D14,Rutas!$A:$A,0))</f>
        <v>0.45</v>
      </c>
      <c r="M14" s="15" t="n">
        <f aca="false">INDEX(Rutas!$F:$F,MATCH(B14&amp;"|"&amp;D14,Rutas!$A:$A,0))</f>
        <v>0.005</v>
      </c>
      <c r="N14" s="16" t="n">
        <f aca="false">INDEX(Aranceles!$F:$F,MATCH(B14&amp;"|"&amp;C14,Aranceles!$A:$A,0))</f>
        <v>0.05</v>
      </c>
      <c r="O14" s="17" t="n">
        <f aca="false">INDEX(Paises!$E:$E,MATCH(B14,Paises!$A:$A,0))</f>
        <v>6.7084</v>
      </c>
      <c r="P14" s="13" t="n">
        <f aca="false">INDEX(Demanda!$F:$F,MATCH(B14&amp;"|"&amp;C14,Demanda!$A:$A,0))</f>
        <v>511.14</v>
      </c>
      <c r="Q14" s="18" t="n">
        <f aca="false">INDEX(Demanda!$G:$G,MATCH(B14&amp;"|"&amp;C14,Demanda!$A:$A,0))</f>
        <v>60</v>
      </c>
      <c r="R14" s="13" t="n">
        <f aca="false">ROUND(E14*J14,2)</f>
        <v>11000</v>
      </c>
      <c r="S14" s="13" t="n">
        <f aca="false">ROUND(E14*K14*L14,2)</f>
        <v>4500</v>
      </c>
      <c r="T14" s="13" t="n">
        <f aca="false">ROUND((R14+S14)*M14,2)</f>
        <v>77.5</v>
      </c>
      <c r="U14" s="13" t="n">
        <f aca="false">ROUND(R14+S14+T14,2)</f>
        <v>15577.5</v>
      </c>
      <c r="V14" s="13" t="n">
        <f aca="false">ROUND(U14*N14,2)</f>
        <v>778.88</v>
      </c>
      <c r="W14" s="19" t="n">
        <f aca="false">ROUND(U14+V14,2)</f>
        <v>16356.38</v>
      </c>
      <c r="X14" s="17" t="n">
        <f aca="false">ROUND(O14*(1+H14),4)</f>
        <v>6.7084</v>
      </c>
      <c r="Y14" s="14" t="n">
        <f aca="false">ROUND(W14*X14,2)</f>
        <v>109725.14</v>
      </c>
      <c r="Z14" s="17" t="n">
        <f aca="false">ROUND((F14/P14)*(1+H14),4)</f>
        <v>1.04</v>
      </c>
      <c r="AA14" s="18" t="n">
        <f aca="false">MIN(E14,ROUNDDOWN((Q14/G14)*Z14^(-Parametros!$B$6),0))</f>
        <v>28</v>
      </c>
      <c r="AB14" s="13" t="n">
        <f aca="false">ROUND(AA14*F14,2)</f>
        <v>14884.52</v>
      </c>
      <c r="AC14" s="19" t="n">
        <f aca="false">ROUND(AB14-W14,2)</f>
        <v>-1471.86</v>
      </c>
      <c r="AD14" s="13" t="n">
        <f aca="false">ROUND(I14+AC14,2)</f>
        <v>48528.14</v>
      </c>
      <c r="AE14" s="20" t="str">
        <f aca="false">IF(W14&lt;=I14,"Sí","No: excede el capital")</f>
        <v>Sí</v>
      </c>
      <c r="AF14" s="21" t="str">
        <f aca="false">IF(AA14&lt;E14,"Vendiste "&amp;AA14&amp;" de "&amp;E14&amp;" unidades. ","Vendiste las "&amp;E14&amp;" unidades enviadas. ")&amp;IF(ABS(Z14-1)&lt;0.005,"Tu precio en moneda local quedó igual al de referencia","Tu precio en moneda local quedó "&amp;ROUND(ABS(Z14-1)*100,0)&amp;" % "&amp;IF(Z14&gt;1,"por encima","por debajo")&amp;" del de referencia")&amp;IF(G14&gt;1," y competiste con "&amp;(G14-1)&amp;" equipo(s) más. "," y no tuviste competencia en ese mercado. ")&amp;IF(V14&gt;0,"El arancel se llevó el "&amp;ROUND(V14/W14*100,0)&amp;" % de tu costo total. ","Este mercado no cobra arancel a tu producto. ")&amp;IF(AC14&lt;0,"Resultado: pérdida.","Resultado: utilidad.")</f>
        <v>Vendiste 28 de 40 unidades. Tu precio en moneda local quedó 4 % por encima del de referencia y competiste con 1 equipo(s) más. El arancel se llevó el 5 % de tu costo total. Resultado: pérdida.</v>
      </c>
      <c r="AG14" s="20" t="str">
        <f aca="false">INDEX(Paises!$B:$B,MATCH(B14,Paises!$A:$A,0))&amp;" / "&amp;INDEX(Productos!$B:$B,MATCH(C14,Productos!$A:$A,0))</f>
        <v>China / Jugo concentrado de piña</v>
      </c>
    </row>
    <row r="15" customFormat="false" ht="15" hidden="false" customHeight="false" outlineLevel="0" collapsed="false">
      <c r="A15" s="22" t="s">
        <v>87</v>
      </c>
      <c r="R15" s="23" t="n">
        <f aca="false">SUM(R5:R14)</f>
        <v>127717.2</v>
      </c>
      <c r="S15" s="23" t="n">
        <f aca="false">SUM(S5:S14)</f>
        <v>39120</v>
      </c>
      <c r="T15" s="23" t="n">
        <f aca="false">SUM(T5:T14)</f>
        <v>735.13</v>
      </c>
      <c r="U15" s="23" t="n">
        <f aca="false">SUM(U5:U14)</f>
        <v>167572.33</v>
      </c>
      <c r="V15" s="23" t="n">
        <f aca="false">SUM(V5:V14)</f>
        <v>7863.54</v>
      </c>
      <c r="W15" s="23" t="n">
        <f aca="false">SUM(W5:W14)</f>
        <v>175435.87</v>
      </c>
      <c r="AB15" s="23" t="n">
        <f aca="false">SUM(AB5:AB14)</f>
        <v>169808.87</v>
      </c>
      <c r="AC15" s="23" t="n">
        <f aca="false">SUM(AC5:AC14)</f>
        <v>-5627</v>
      </c>
    </row>
    <row r="17" customFormat="false" ht="15" hidden="false" customHeight="false" outlineLevel="0" collapsed="false">
      <c r="A17" s="24" t="s">
        <v>88</v>
      </c>
    </row>
  </sheetData>
  <dataValidations count="3">
    <dataValidation allowBlank="false" errorStyle="stop" operator="between" showDropDown="false" showErrorMessage="false" showInputMessage="false" sqref="B5:B14" type="list">
      <formula1>Paises!$A$5:$A$14</formula1>
      <formula2>0</formula2>
    </dataValidation>
    <dataValidation allowBlank="false" errorStyle="stop" operator="between" showDropDown="false" showErrorMessage="false" showInputMessage="false" sqref="C5:C14" type="list">
      <formula1>Productos!$A$5:$A$19</formula1>
      <formula2>0</formula2>
    </dataValidation>
    <dataValidation allowBlank="false" errorStyle="stop" operator="between" showDropDown="false" showErrorMessage="false" showInputMessage="false" sqref="D5:D14" type="list">
      <formula1>"Marítimo,Aéreo"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9.7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22" t="s">
        <v>23</v>
      </c>
      <c r="B4" s="8" t="s">
        <v>56</v>
      </c>
    </row>
    <row r="5" customFormat="false" ht="15" hidden="true" customHeight="false" outlineLevel="0" collapsed="false">
      <c r="A5" s="20" t="s">
        <v>91</v>
      </c>
      <c r="B5" s="25" t="n">
        <f aca="false">MATCH(B4,Casos!$A:$A,0)</f>
        <v>5</v>
      </c>
    </row>
    <row r="6" customFormat="false" ht="15" hidden="false" customHeight="false" outlineLevel="0" collapsed="false">
      <c r="A6" s="20" t="s">
        <v>27</v>
      </c>
      <c r="B6" s="18" t="n">
        <f aca="false">INDEX(Casos!$E:$E,$B$5)</f>
        <v>2000</v>
      </c>
    </row>
    <row r="7" customFormat="false" ht="15" hidden="false" customHeight="false" outlineLevel="0" collapsed="false">
      <c r="A7" s="20" t="s">
        <v>45</v>
      </c>
      <c r="B7" s="13" t="n">
        <f aca="false">INDEX(Casos!$W:$W,$B$5)</f>
        <v>23366.65</v>
      </c>
    </row>
    <row r="8" customFormat="false" ht="15" hidden="false" customHeight="false" outlineLevel="0" collapsed="false">
      <c r="A8" s="20" t="s">
        <v>92</v>
      </c>
      <c r="B8" s="13" t="n">
        <f aca="false">INDEX(Casos!$P:$P,$B$5)</f>
        <v>14.6</v>
      </c>
    </row>
    <row r="9" customFormat="false" ht="15" hidden="false" customHeight="false" outlineLevel="0" collapsed="false">
      <c r="A9" s="20" t="s">
        <v>93</v>
      </c>
      <c r="B9" s="26" t="n">
        <f aca="false">INDEX(Casos!$Q:$Q,$B$5)/INDEX(Casos!$G:$G,$B$5)</f>
        <v>2000</v>
      </c>
    </row>
    <row r="10" customFormat="false" ht="15" hidden="false" customHeight="false" outlineLevel="0" collapsed="false">
      <c r="A10" s="20" t="s">
        <v>30</v>
      </c>
      <c r="B10" s="27" t="n">
        <f aca="false">INDEX(Casos!$H:$H,$B$5)</f>
        <v>0</v>
      </c>
    </row>
    <row r="12" customFormat="false" ht="23.85" hidden="false" customHeight="false" outlineLevel="0" collapsed="false">
      <c r="A12" s="7" t="s">
        <v>94</v>
      </c>
      <c r="B12" s="7" t="s">
        <v>95</v>
      </c>
      <c r="C12" s="7" t="s">
        <v>96</v>
      </c>
      <c r="D12" s="7" t="s">
        <v>49</v>
      </c>
      <c r="E12" s="7" t="s">
        <v>50</v>
      </c>
      <c r="F12" s="7" t="s">
        <v>51</v>
      </c>
    </row>
    <row r="13" customFormat="false" ht="18" hidden="false" customHeight="true" outlineLevel="0" collapsed="false">
      <c r="A13" s="28" t="n">
        <v>0.7</v>
      </c>
      <c r="B13" s="13" t="n">
        <f aca="false">ROUND($B$8*A13,2)</f>
        <v>10.22</v>
      </c>
      <c r="C13" s="17" t="n">
        <f aca="false">ROUND((B13/$B$8)*(1+$B$10),4)</f>
        <v>0.7</v>
      </c>
      <c r="D13" s="18" t="n">
        <f aca="false">MIN($B$6,ROUNDDOWN($B$9*C13^(-Parametros!$B$6),0))</f>
        <v>2000</v>
      </c>
      <c r="E13" s="13" t="n">
        <f aca="false">ROUND(D13*B13,2)</f>
        <v>20440</v>
      </c>
      <c r="F13" s="19" t="n">
        <f aca="false">ROUND(E13-$B$7,2)</f>
        <v>-2926.65</v>
      </c>
    </row>
    <row r="14" customFormat="false" ht="18" hidden="false" customHeight="true" outlineLevel="0" collapsed="false">
      <c r="A14" s="28" t="n">
        <v>0.8</v>
      </c>
      <c r="B14" s="13" t="n">
        <f aca="false">ROUND($B$8*A14,2)</f>
        <v>11.68</v>
      </c>
      <c r="C14" s="17" t="n">
        <f aca="false">ROUND((B14/$B$8)*(1+$B$10),4)</f>
        <v>0.8</v>
      </c>
      <c r="D14" s="18" t="n">
        <f aca="false">MIN($B$6,ROUNDDOWN($B$9*C14^(-Parametros!$B$6),0))</f>
        <v>2000</v>
      </c>
      <c r="E14" s="13" t="n">
        <f aca="false">ROUND(D14*B14,2)</f>
        <v>23360</v>
      </c>
      <c r="F14" s="19" t="n">
        <f aca="false">ROUND(E14-$B$7,2)</f>
        <v>-6.65</v>
      </c>
    </row>
    <row r="15" customFormat="false" ht="18" hidden="false" customHeight="true" outlineLevel="0" collapsed="false">
      <c r="A15" s="28" t="n">
        <v>0.9</v>
      </c>
      <c r="B15" s="13" t="n">
        <f aca="false">ROUND($B$8*A15,2)</f>
        <v>13.14</v>
      </c>
      <c r="C15" s="17" t="n">
        <f aca="false">ROUND((B15/$B$8)*(1+$B$10),4)</f>
        <v>0.9</v>
      </c>
      <c r="D15" s="18" t="n">
        <f aca="false">MIN($B$6,ROUNDDOWN($B$9*C15^(-Parametros!$B$6),0))</f>
        <v>2000</v>
      </c>
      <c r="E15" s="13" t="n">
        <f aca="false">ROUND(D15*B15,2)</f>
        <v>26280</v>
      </c>
      <c r="F15" s="19" t="n">
        <f aca="false">ROUND(E15-$B$7,2)</f>
        <v>2913.35</v>
      </c>
    </row>
    <row r="16" customFormat="false" ht="18" hidden="false" customHeight="true" outlineLevel="0" collapsed="false">
      <c r="A16" s="28" t="n">
        <v>1</v>
      </c>
      <c r="B16" s="13" t="n">
        <f aca="false">ROUND($B$8*A16,2)</f>
        <v>14.6</v>
      </c>
      <c r="C16" s="17" t="n">
        <f aca="false">ROUND((B16/$B$8)*(1+$B$10),4)</f>
        <v>1</v>
      </c>
      <c r="D16" s="18" t="n">
        <f aca="false">MIN($B$6,ROUNDDOWN($B$9*C16^(-Parametros!$B$6),0))</f>
        <v>2000</v>
      </c>
      <c r="E16" s="13" t="n">
        <f aca="false">ROUND(D16*B16,2)</f>
        <v>29200</v>
      </c>
      <c r="F16" s="19" t="n">
        <f aca="false">ROUND(E16-$B$7,2)</f>
        <v>5833.35</v>
      </c>
    </row>
    <row r="17" customFormat="false" ht="18" hidden="false" customHeight="true" outlineLevel="0" collapsed="false">
      <c r="A17" s="28" t="n">
        <v>1.1</v>
      </c>
      <c r="B17" s="13" t="n">
        <f aca="false">ROUND($B$8*A17,2)</f>
        <v>16.06</v>
      </c>
      <c r="C17" s="17" t="n">
        <f aca="false">ROUND((B17/$B$8)*(1+$B$10),4)</f>
        <v>1.1</v>
      </c>
      <c r="D17" s="18" t="n">
        <f aca="false">MIN($B$6,ROUNDDOWN($B$9*C17^(-Parametros!$B$6),0))</f>
        <v>1733</v>
      </c>
      <c r="E17" s="13" t="n">
        <f aca="false">ROUND(D17*B17,2)</f>
        <v>27831.98</v>
      </c>
      <c r="F17" s="19" t="n">
        <f aca="false">ROUND(E17-$B$7,2)</f>
        <v>4465.33</v>
      </c>
    </row>
    <row r="18" customFormat="false" ht="18" hidden="false" customHeight="true" outlineLevel="0" collapsed="false">
      <c r="A18" s="28" t="n">
        <v>1.2</v>
      </c>
      <c r="B18" s="13" t="n">
        <f aca="false">ROUND($B$8*A18,2)</f>
        <v>17.52</v>
      </c>
      <c r="C18" s="17" t="n">
        <f aca="false">ROUND((B18/$B$8)*(1+$B$10),4)</f>
        <v>1.2</v>
      </c>
      <c r="D18" s="18" t="n">
        <f aca="false">MIN($B$6,ROUNDDOWN($B$9*C18^(-Parametros!$B$6),0))</f>
        <v>1521</v>
      </c>
      <c r="E18" s="13" t="n">
        <f aca="false">ROUND(D18*B18,2)</f>
        <v>26647.92</v>
      </c>
      <c r="F18" s="19" t="n">
        <f aca="false">ROUND(E18-$B$7,2)</f>
        <v>3281.27</v>
      </c>
    </row>
    <row r="19" customFormat="false" ht="18" hidden="false" customHeight="true" outlineLevel="0" collapsed="false">
      <c r="A19" s="28" t="n">
        <v>1.3</v>
      </c>
      <c r="B19" s="13" t="n">
        <f aca="false">ROUND($B$8*A19,2)</f>
        <v>18.98</v>
      </c>
      <c r="C19" s="17" t="n">
        <f aca="false">ROUND((B19/$B$8)*(1+$B$10),4)</f>
        <v>1.3</v>
      </c>
      <c r="D19" s="18" t="n">
        <f aca="false">MIN($B$6,ROUNDDOWN($B$9*C19^(-Parametros!$B$6),0))</f>
        <v>1349</v>
      </c>
      <c r="E19" s="13" t="n">
        <f aca="false">ROUND(D19*B19,2)</f>
        <v>25604.02</v>
      </c>
      <c r="F19" s="19" t="n">
        <f aca="false">ROUND(E19-$B$7,2)</f>
        <v>2237.37</v>
      </c>
    </row>
  </sheetData>
  <dataValidations count="1">
    <dataValidation allowBlank="false" errorStyle="stop" operator="between" showDropDown="false" showErrorMessage="false" showInputMessage="false" sqref="B4" type="list">
      <formula1>Casos!$A$5:$A$14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46"/>
  </cols>
  <sheetData>
    <row r="1" customFormat="false" ht="24" hidden="false" customHeight="tru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31.5" hidden="false" customHeight="true" outlineLevel="0" collapsed="false">
      <c r="A4" s="7" t="s">
        <v>24</v>
      </c>
      <c r="B4" s="7" t="s">
        <v>99</v>
      </c>
      <c r="C4" s="7" t="s">
        <v>100</v>
      </c>
      <c r="D4" s="7" t="s">
        <v>101</v>
      </c>
      <c r="E4" s="7" t="s">
        <v>102</v>
      </c>
      <c r="F4" s="7" t="s">
        <v>103</v>
      </c>
      <c r="G4" s="7" t="s">
        <v>104</v>
      </c>
      <c r="H4" s="7" t="s">
        <v>105</v>
      </c>
      <c r="I4" s="7" t="s">
        <v>106</v>
      </c>
      <c r="J4" s="7" t="s">
        <v>107</v>
      </c>
      <c r="K4" s="7" t="s">
        <v>108</v>
      </c>
      <c r="L4" s="7" t="s">
        <v>109</v>
      </c>
      <c r="M4" s="7" t="s">
        <v>110</v>
      </c>
      <c r="N4" s="7" t="s">
        <v>111</v>
      </c>
      <c r="O4" s="7" t="s">
        <v>112</v>
      </c>
    </row>
    <row r="5" customFormat="false" ht="18" hidden="false" customHeight="true" outlineLevel="0" collapsed="false">
      <c r="A5" s="8" t="s">
        <v>57</v>
      </c>
      <c r="B5" s="8" t="s">
        <v>113</v>
      </c>
      <c r="C5" s="8" t="s">
        <v>114</v>
      </c>
      <c r="D5" s="8" t="s">
        <v>115</v>
      </c>
      <c r="E5" s="29" t="n">
        <v>1</v>
      </c>
      <c r="F5" s="8" t="s">
        <v>116</v>
      </c>
      <c r="G5" s="8" t="s">
        <v>117</v>
      </c>
      <c r="H5" s="11" t="n">
        <v>40</v>
      </c>
      <c r="I5" s="11" t="n">
        <v>91</v>
      </c>
      <c r="J5" s="11" t="n">
        <v>62</v>
      </c>
      <c r="K5" s="11" t="n">
        <v>46</v>
      </c>
      <c r="L5" s="11" t="n">
        <v>26</v>
      </c>
      <c r="M5" s="11" t="n">
        <v>68</v>
      </c>
      <c r="N5" s="8" t="s">
        <v>118</v>
      </c>
      <c r="O5" s="20" t="s">
        <v>119</v>
      </c>
    </row>
    <row r="6" customFormat="false" ht="18" hidden="false" customHeight="true" outlineLevel="0" collapsed="false">
      <c r="A6" s="8" t="s">
        <v>61</v>
      </c>
      <c r="B6" s="8" t="s">
        <v>120</v>
      </c>
      <c r="C6" s="8" t="s">
        <v>121</v>
      </c>
      <c r="D6" s="8" t="s">
        <v>122</v>
      </c>
      <c r="E6" s="29" t="n">
        <f aca="false">ROUND(1/1.1505,4)</f>
        <v>0.8692</v>
      </c>
      <c r="F6" s="8" t="s">
        <v>116</v>
      </c>
      <c r="G6" s="8" t="s">
        <v>117</v>
      </c>
      <c r="H6" s="11" t="n">
        <v>38</v>
      </c>
      <c r="I6" s="11" t="n">
        <v>80</v>
      </c>
      <c r="J6" s="11" t="n">
        <v>14</v>
      </c>
      <c r="K6" s="11" t="n">
        <v>53</v>
      </c>
      <c r="L6" s="11" t="n">
        <v>67</v>
      </c>
      <c r="M6" s="11" t="n">
        <v>68</v>
      </c>
      <c r="N6" s="8" t="s">
        <v>118</v>
      </c>
      <c r="O6" s="20" t="s">
        <v>123</v>
      </c>
    </row>
    <row r="7" customFormat="false" ht="18" hidden="false" customHeight="true" outlineLevel="0" collapsed="false">
      <c r="A7" s="8" t="s">
        <v>124</v>
      </c>
      <c r="B7" s="8" t="s">
        <v>125</v>
      </c>
      <c r="C7" s="8" t="s">
        <v>121</v>
      </c>
      <c r="D7" s="8" t="s">
        <v>122</v>
      </c>
      <c r="E7" s="29" t="n">
        <f aca="false">ROUND(1/1.1505,4)</f>
        <v>0.8692</v>
      </c>
      <c r="F7" s="8" t="s">
        <v>116</v>
      </c>
      <c r="G7" s="8" t="s">
        <v>117</v>
      </c>
      <c r="H7" s="11" t="n">
        <v>65</v>
      </c>
      <c r="I7" s="11" t="n">
        <v>75</v>
      </c>
      <c r="J7" s="11" t="n">
        <v>54</v>
      </c>
      <c r="K7" s="11" t="n">
        <v>94</v>
      </c>
      <c r="L7" s="11" t="n">
        <v>82</v>
      </c>
      <c r="M7" s="11" t="n">
        <v>57</v>
      </c>
      <c r="N7" s="8" t="s">
        <v>118</v>
      </c>
      <c r="O7" s="20" t="s">
        <v>123</v>
      </c>
    </row>
    <row r="8" customFormat="false" ht="18" hidden="false" customHeight="true" outlineLevel="0" collapsed="false">
      <c r="A8" s="8" t="s">
        <v>64</v>
      </c>
      <c r="B8" s="8" t="s">
        <v>126</v>
      </c>
      <c r="C8" s="8" t="s">
        <v>121</v>
      </c>
      <c r="D8" s="8" t="s">
        <v>122</v>
      </c>
      <c r="E8" s="29" t="n">
        <f aca="false">ROUND(1/1.1505,4)</f>
        <v>0.8692</v>
      </c>
      <c r="F8" s="8" t="s">
        <v>116</v>
      </c>
      <c r="G8" s="8" t="s">
        <v>117</v>
      </c>
      <c r="H8" s="11" t="n">
        <v>35</v>
      </c>
      <c r="I8" s="11" t="n">
        <v>67</v>
      </c>
      <c r="J8" s="11" t="n">
        <v>66</v>
      </c>
      <c r="K8" s="11" t="n">
        <v>65</v>
      </c>
      <c r="L8" s="11" t="n">
        <v>83</v>
      </c>
      <c r="M8" s="11" t="n">
        <v>40</v>
      </c>
      <c r="N8" s="8" t="s">
        <v>118</v>
      </c>
      <c r="O8" s="20" t="s">
        <v>119</v>
      </c>
    </row>
    <row r="9" customFormat="false" ht="18" hidden="false" customHeight="true" outlineLevel="0" collapsed="false">
      <c r="A9" s="8" t="s">
        <v>79</v>
      </c>
      <c r="B9" s="8" t="s">
        <v>127</v>
      </c>
      <c r="C9" s="8" t="s">
        <v>121</v>
      </c>
      <c r="D9" s="8" t="s">
        <v>122</v>
      </c>
      <c r="E9" s="29" t="n">
        <f aca="false">ROUND(1/1.1505,4)</f>
        <v>0.8692</v>
      </c>
      <c r="F9" s="8" t="s">
        <v>116</v>
      </c>
      <c r="G9" s="8" t="s">
        <v>117</v>
      </c>
      <c r="H9" s="11" t="n">
        <v>57</v>
      </c>
      <c r="I9" s="11" t="n">
        <v>51</v>
      </c>
      <c r="J9" s="11" t="n">
        <v>42</v>
      </c>
      <c r="K9" s="11" t="n">
        <v>86</v>
      </c>
      <c r="L9" s="11" t="n">
        <v>48</v>
      </c>
      <c r="M9" s="11" t="n">
        <v>44</v>
      </c>
      <c r="N9" s="8" t="s">
        <v>118</v>
      </c>
      <c r="O9" s="20" t="s">
        <v>119</v>
      </c>
    </row>
    <row r="10" customFormat="false" ht="18" hidden="false" customHeight="true" outlineLevel="0" collapsed="false">
      <c r="A10" s="8" t="s">
        <v>71</v>
      </c>
      <c r="B10" s="8" t="s">
        <v>128</v>
      </c>
      <c r="C10" s="8" t="s">
        <v>129</v>
      </c>
      <c r="D10" s="8" t="s">
        <v>130</v>
      </c>
      <c r="E10" s="29" t="n">
        <f aca="false">ROUND(1/1.3406,4)</f>
        <v>0.7459</v>
      </c>
      <c r="F10" s="8" t="s">
        <v>116</v>
      </c>
      <c r="G10" s="8" t="s">
        <v>117</v>
      </c>
      <c r="H10" s="11" t="n">
        <v>35</v>
      </c>
      <c r="I10" s="11" t="n">
        <v>89</v>
      </c>
      <c r="J10" s="11" t="n">
        <v>66</v>
      </c>
      <c r="K10" s="11" t="n">
        <v>35</v>
      </c>
      <c r="L10" s="11" t="n">
        <v>51</v>
      </c>
      <c r="M10" s="11" t="n">
        <v>69</v>
      </c>
      <c r="N10" s="8" t="s">
        <v>118</v>
      </c>
      <c r="O10" s="20" t="s">
        <v>119</v>
      </c>
    </row>
    <row r="11" customFormat="false" ht="18" hidden="false" customHeight="true" outlineLevel="0" collapsed="false">
      <c r="A11" s="8" t="s">
        <v>82</v>
      </c>
      <c r="B11" s="8" t="s">
        <v>131</v>
      </c>
      <c r="C11" s="8" t="s">
        <v>132</v>
      </c>
      <c r="D11" s="8" t="s">
        <v>133</v>
      </c>
      <c r="E11" s="29" t="n">
        <v>17.2695</v>
      </c>
      <c r="F11" s="8" t="s">
        <v>116</v>
      </c>
      <c r="G11" s="8" t="s">
        <v>117</v>
      </c>
      <c r="H11" s="11" t="n">
        <v>81</v>
      </c>
      <c r="I11" s="11" t="n">
        <v>30</v>
      </c>
      <c r="J11" s="11" t="n">
        <v>69</v>
      </c>
      <c r="K11" s="11" t="n">
        <v>82</v>
      </c>
      <c r="L11" s="11" t="n">
        <v>24</v>
      </c>
      <c r="M11" s="11" t="n">
        <v>97</v>
      </c>
      <c r="N11" s="8" t="s">
        <v>118</v>
      </c>
      <c r="O11" s="20" t="s">
        <v>123</v>
      </c>
    </row>
    <row r="12" customFormat="false" ht="18" hidden="false" customHeight="true" outlineLevel="0" collapsed="false">
      <c r="A12" s="8" t="s">
        <v>74</v>
      </c>
      <c r="B12" s="8" t="s">
        <v>134</v>
      </c>
      <c r="C12" s="8" t="s">
        <v>135</v>
      </c>
      <c r="D12" s="8" t="s">
        <v>136</v>
      </c>
      <c r="E12" s="29" t="n">
        <v>1.3972</v>
      </c>
      <c r="F12" s="8" t="s">
        <v>116</v>
      </c>
      <c r="G12" s="8" t="s">
        <v>117</v>
      </c>
      <c r="H12" s="11" t="n">
        <v>39</v>
      </c>
      <c r="I12" s="11" t="n">
        <v>80</v>
      </c>
      <c r="J12" s="11" t="n">
        <v>52</v>
      </c>
      <c r="K12" s="11" t="n">
        <v>48</v>
      </c>
      <c r="L12" s="11" t="n">
        <v>36</v>
      </c>
      <c r="M12" s="11" t="n">
        <v>68</v>
      </c>
      <c r="N12" s="8" t="s">
        <v>118</v>
      </c>
      <c r="O12" s="20" t="s">
        <v>123</v>
      </c>
    </row>
    <row r="13" customFormat="false" ht="18" hidden="false" customHeight="true" outlineLevel="0" collapsed="false">
      <c r="A13" s="8" t="s">
        <v>85</v>
      </c>
      <c r="B13" s="8" t="s">
        <v>137</v>
      </c>
      <c r="C13" s="8" t="s">
        <v>138</v>
      </c>
      <c r="D13" s="8" t="s">
        <v>139</v>
      </c>
      <c r="E13" s="29" t="n">
        <v>6.7084</v>
      </c>
      <c r="F13" s="8" t="s">
        <v>116</v>
      </c>
      <c r="G13" s="8" t="s">
        <v>117</v>
      </c>
      <c r="H13" s="11" t="n">
        <v>80</v>
      </c>
      <c r="I13" s="11" t="n">
        <v>20</v>
      </c>
      <c r="J13" s="11" t="n">
        <v>66</v>
      </c>
      <c r="K13" s="11" t="n">
        <v>30</v>
      </c>
      <c r="L13" s="11" t="n">
        <v>87</v>
      </c>
      <c r="M13" s="11" t="n">
        <v>24</v>
      </c>
      <c r="N13" s="8" t="s">
        <v>118</v>
      </c>
      <c r="O13" s="20" t="s">
        <v>123</v>
      </c>
    </row>
    <row r="14" customFormat="false" ht="18" hidden="false" customHeight="true" outlineLevel="0" collapsed="false">
      <c r="A14" s="8" t="s">
        <v>67</v>
      </c>
      <c r="B14" s="8" t="s">
        <v>140</v>
      </c>
      <c r="C14" s="8" t="s">
        <v>141</v>
      </c>
      <c r="D14" s="8" t="s">
        <v>142</v>
      </c>
      <c r="E14" s="29" t="n">
        <v>156.4171</v>
      </c>
      <c r="F14" s="8" t="s">
        <v>116</v>
      </c>
      <c r="G14" s="8" t="s">
        <v>117</v>
      </c>
      <c r="H14" s="11" t="n">
        <v>54</v>
      </c>
      <c r="I14" s="11" t="n">
        <v>46</v>
      </c>
      <c r="J14" s="11" t="n">
        <v>95</v>
      </c>
      <c r="K14" s="11" t="n">
        <v>92</v>
      </c>
      <c r="L14" s="11" t="n">
        <v>88</v>
      </c>
      <c r="M14" s="11" t="n">
        <v>42</v>
      </c>
      <c r="N14" s="8" t="s">
        <v>118</v>
      </c>
      <c r="O14" s="2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26"/>
    <col collapsed="false" customWidth="true" hidden="false" outlineLevel="0" max="9" min="9" style="0" width="58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31.5" hidden="false" customHeight="true" outlineLevel="0" collapsed="false">
      <c r="A4" s="7" t="s">
        <v>145</v>
      </c>
      <c r="B4" s="7" t="s">
        <v>25</v>
      </c>
      <c r="C4" s="7" t="s">
        <v>146</v>
      </c>
      <c r="D4" s="7" t="s">
        <v>147</v>
      </c>
      <c r="E4" s="7" t="s">
        <v>148</v>
      </c>
      <c r="F4" s="7" t="s">
        <v>149</v>
      </c>
      <c r="G4" s="7" t="s">
        <v>150</v>
      </c>
      <c r="H4" s="7" t="s">
        <v>112</v>
      </c>
      <c r="I4" s="7" t="s">
        <v>151</v>
      </c>
      <c r="J4" s="7" t="s">
        <v>152</v>
      </c>
    </row>
    <row r="5" customFormat="false" ht="27.75" hidden="false" customHeight="true" outlineLevel="0" collapsed="false">
      <c r="A5" s="8" t="s">
        <v>58</v>
      </c>
      <c r="B5" s="8" t="s">
        <v>153</v>
      </c>
      <c r="C5" s="8" t="s">
        <v>154</v>
      </c>
      <c r="D5" s="8" t="s">
        <v>155</v>
      </c>
      <c r="E5" s="30" t="n">
        <v>18.14</v>
      </c>
      <c r="F5" s="10" t="n">
        <v>8.36</v>
      </c>
      <c r="G5" s="8" t="s">
        <v>156</v>
      </c>
      <c r="H5" s="20" t="s">
        <v>157</v>
      </c>
      <c r="I5" s="21" t="s">
        <v>158</v>
      </c>
      <c r="J5" s="8" t="s">
        <v>59</v>
      </c>
    </row>
    <row r="6" customFormat="false" ht="27.75" hidden="false" customHeight="true" outlineLevel="0" collapsed="false">
      <c r="A6" s="8" t="s">
        <v>62</v>
      </c>
      <c r="B6" s="8" t="s">
        <v>159</v>
      </c>
      <c r="C6" s="8" t="s">
        <v>160</v>
      </c>
      <c r="D6" s="8" t="s">
        <v>161</v>
      </c>
      <c r="E6" s="30" t="n">
        <v>12</v>
      </c>
      <c r="F6" s="10" t="n">
        <f aca="false">ROUND(0.546*12,2)</f>
        <v>6.55</v>
      </c>
      <c r="G6" s="8" t="s">
        <v>162</v>
      </c>
      <c r="H6" s="20" t="s">
        <v>163</v>
      </c>
      <c r="I6" s="21" t="s">
        <v>164</v>
      </c>
      <c r="J6" s="8" t="s">
        <v>59</v>
      </c>
    </row>
    <row r="7" customFormat="false" ht="27.75" hidden="false" customHeight="true" outlineLevel="0" collapsed="false">
      <c r="A7" s="8" t="s">
        <v>65</v>
      </c>
      <c r="B7" s="8" t="s">
        <v>165</v>
      </c>
      <c r="C7" s="8" t="s">
        <v>166</v>
      </c>
      <c r="D7" s="8" t="s">
        <v>167</v>
      </c>
      <c r="E7" s="30" t="n">
        <v>46</v>
      </c>
      <c r="F7" s="10" t="n">
        <f aca="false">ROUND(46*2.20462*2.779,2)</f>
        <v>281.83</v>
      </c>
      <c r="G7" s="8" t="s">
        <v>168</v>
      </c>
      <c r="H7" s="20" t="s">
        <v>169</v>
      </c>
      <c r="I7" s="21" t="s">
        <v>170</v>
      </c>
      <c r="J7" s="8" t="s">
        <v>59</v>
      </c>
    </row>
    <row r="8" customFormat="false" ht="27.75" hidden="false" customHeight="true" outlineLevel="0" collapsed="false">
      <c r="A8" s="8" t="s">
        <v>68</v>
      </c>
      <c r="B8" s="8" t="s">
        <v>171</v>
      </c>
      <c r="C8" s="8" t="s">
        <v>172</v>
      </c>
      <c r="D8" s="8" t="s">
        <v>161</v>
      </c>
      <c r="E8" s="30" t="n">
        <v>12</v>
      </c>
      <c r="F8" s="10" t="n">
        <f aca="false">ROUND(12/0.82*2.20462*2.779*1.3,2)</f>
        <v>116.56</v>
      </c>
      <c r="G8" s="8" t="s">
        <v>168</v>
      </c>
      <c r="H8" s="20" t="s">
        <v>169</v>
      </c>
      <c r="I8" s="21" t="s">
        <v>173</v>
      </c>
      <c r="J8" s="8" t="s">
        <v>59</v>
      </c>
    </row>
    <row r="9" customFormat="false" ht="27.75" hidden="false" customHeight="true" outlineLevel="0" collapsed="false">
      <c r="A9" s="8" t="s">
        <v>72</v>
      </c>
      <c r="B9" s="8" t="s">
        <v>174</v>
      </c>
      <c r="C9" s="8" t="s">
        <v>175</v>
      </c>
      <c r="D9" s="8" t="s">
        <v>176</v>
      </c>
      <c r="E9" s="30" t="n">
        <v>15</v>
      </c>
      <c r="F9" s="10" t="n">
        <f aca="false">ROUND(43000000/58102000*15,2)</f>
        <v>11.1</v>
      </c>
      <c r="G9" s="8" t="s">
        <v>177</v>
      </c>
      <c r="H9" s="20" t="s">
        <v>163</v>
      </c>
      <c r="I9" s="21" t="s">
        <v>178</v>
      </c>
      <c r="J9" s="8" t="s">
        <v>59</v>
      </c>
    </row>
    <row r="10" customFormat="false" ht="27.75" hidden="false" customHeight="true" outlineLevel="0" collapsed="false">
      <c r="A10" s="8" t="s">
        <v>75</v>
      </c>
      <c r="B10" s="8" t="s">
        <v>179</v>
      </c>
      <c r="C10" s="8" t="s">
        <v>180</v>
      </c>
      <c r="D10" s="8" t="s">
        <v>181</v>
      </c>
      <c r="E10" s="30" t="n">
        <v>4</v>
      </c>
      <c r="F10" s="10" t="n">
        <v>5.5</v>
      </c>
      <c r="G10" s="8" t="s">
        <v>182</v>
      </c>
      <c r="H10" s="20" t="s">
        <v>183</v>
      </c>
      <c r="I10" s="21" t="s">
        <v>184</v>
      </c>
      <c r="J10" s="8" t="s">
        <v>59</v>
      </c>
    </row>
    <row r="11" customFormat="false" ht="27.75" hidden="false" customHeight="true" outlineLevel="0" collapsed="false">
      <c r="A11" s="8" t="s">
        <v>77</v>
      </c>
      <c r="B11" s="8" t="s">
        <v>185</v>
      </c>
      <c r="C11" s="8" t="s">
        <v>186</v>
      </c>
      <c r="D11" s="8" t="s">
        <v>187</v>
      </c>
      <c r="E11" s="30" t="n">
        <v>18</v>
      </c>
      <c r="F11" s="10" t="n">
        <f aca="false">ROUND(146000000/135000000*18,2)</f>
        <v>19.47</v>
      </c>
      <c r="G11" s="8" t="s">
        <v>177</v>
      </c>
      <c r="H11" s="20" t="s">
        <v>163</v>
      </c>
      <c r="I11" s="21" t="s">
        <v>188</v>
      </c>
      <c r="J11" s="8" t="s">
        <v>59</v>
      </c>
    </row>
    <row r="12" customFormat="false" ht="27.75" hidden="false" customHeight="true" outlineLevel="0" collapsed="false">
      <c r="A12" s="8" t="s">
        <v>189</v>
      </c>
      <c r="B12" s="8" t="s">
        <v>190</v>
      </c>
      <c r="C12" s="8" t="s">
        <v>191</v>
      </c>
      <c r="D12" s="8" t="s">
        <v>187</v>
      </c>
      <c r="E12" s="30" t="n">
        <v>18</v>
      </c>
      <c r="F12" s="10" t="n">
        <v>8</v>
      </c>
      <c r="G12" s="8" t="s">
        <v>192</v>
      </c>
      <c r="H12" s="20" t="s">
        <v>183</v>
      </c>
      <c r="I12" s="21" t="s">
        <v>193</v>
      </c>
      <c r="J12" s="8" t="s">
        <v>59</v>
      </c>
    </row>
    <row r="13" customFormat="false" ht="27.75" hidden="false" customHeight="true" outlineLevel="0" collapsed="false">
      <c r="A13" s="8" t="s">
        <v>80</v>
      </c>
      <c r="B13" s="8" t="s">
        <v>194</v>
      </c>
      <c r="C13" s="8" t="s">
        <v>195</v>
      </c>
      <c r="D13" s="8" t="s">
        <v>196</v>
      </c>
      <c r="E13" s="30" t="n">
        <v>10</v>
      </c>
      <c r="F13" s="10" t="n">
        <v>25</v>
      </c>
      <c r="G13" s="8" t="s">
        <v>197</v>
      </c>
      <c r="H13" s="20" t="s">
        <v>198</v>
      </c>
      <c r="I13" s="21" t="s">
        <v>199</v>
      </c>
      <c r="J13" s="8" t="s">
        <v>69</v>
      </c>
    </row>
    <row r="14" customFormat="false" ht="27.75" hidden="false" customHeight="true" outlineLevel="0" collapsed="false">
      <c r="A14" s="8" t="s">
        <v>200</v>
      </c>
      <c r="B14" s="8" t="s">
        <v>201</v>
      </c>
      <c r="C14" s="8" t="s">
        <v>202</v>
      </c>
      <c r="D14" s="8" t="s">
        <v>203</v>
      </c>
      <c r="E14" s="30" t="n">
        <v>190</v>
      </c>
      <c r="F14" s="10" t="n">
        <f aca="false">ROUND(0.19*1007,2)</f>
        <v>191.33</v>
      </c>
      <c r="G14" s="8" t="s">
        <v>204</v>
      </c>
      <c r="H14" s="20" t="s">
        <v>205</v>
      </c>
      <c r="I14" s="21" t="s">
        <v>206</v>
      </c>
      <c r="J14" s="8" t="s">
        <v>59</v>
      </c>
    </row>
    <row r="15" customFormat="false" ht="27.75" hidden="false" customHeight="true" outlineLevel="0" collapsed="false">
      <c r="A15" s="8" t="s">
        <v>207</v>
      </c>
      <c r="B15" s="8" t="s">
        <v>208</v>
      </c>
      <c r="C15" s="8" t="s">
        <v>209</v>
      </c>
      <c r="D15" s="8" t="s">
        <v>210</v>
      </c>
      <c r="E15" s="30" t="n">
        <v>50</v>
      </c>
      <c r="F15" s="10" t="n">
        <f aca="false">ROUND(50*0.37,2)</f>
        <v>18.5</v>
      </c>
      <c r="G15" s="8" t="s">
        <v>204</v>
      </c>
      <c r="H15" s="20" t="s">
        <v>205</v>
      </c>
      <c r="I15" s="21" t="s">
        <v>211</v>
      </c>
      <c r="J15" s="8" t="s">
        <v>59</v>
      </c>
    </row>
    <row r="16" customFormat="false" ht="27.75" hidden="false" customHeight="true" outlineLevel="0" collapsed="false">
      <c r="A16" s="8" t="s">
        <v>86</v>
      </c>
      <c r="B16" s="8" t="s">
        <v>212</v>
      </c>
      <c r="C16" s="8" t="s">
        <v>213</v>
      </c>
      <c r="D16" s="8" t="s">
        <v>214</v>
      </c>
      <c r="E16" s="30" t="n">
        <v>250</v>
      </c>
      <c r="F16" s="10" t="n">
        <f aca="false">ROUND(250*1.1,2)</f>
        <v>275</v>
      </c>
      <c r="G16" s="8" t="s">
        <v>215</v>
      </c>
      <c r="H16" s="20" t="s">
        <v>205</v>
      </c>
      <c r="I16" s="21" t="s">
        <v>216</v>
      </c>
      <c r="J16" s="8" t="s">
        <v>59</v>
      </c>
    </row>
    <row r="17" customFormat="false" ht="27.75" hidden="false" customHeight="true" outlineLevel="0" collapsed="false">
      <c r="A17" s="8" t="s">
        <v>217</v>
      </c>
      <c r="B17" s="8" t="s">
        <v>218</v>
      </c>
      <c r="C17" s="8" t="s">
        <v>219</v>
      </c>
      <c r="D17" s="8" t="s">
        <v>220</v>
      </c>
      <c r="E17" s="30" t="n">
        <v>12</v>
      </c>
      <c r="F17" s="10" t="n">
        <v>30</v>
      </c>
      <c r="G17" s="8" t="s">
        <v>197</v>
      </c>
      <c r="H17" s="20" t="s">
        <v>198</v>
      </c>
      <c r="I17" s="21" t="s">
        <v>221</v>
      </c>
      <c r="J17" s="8" t="s">
        <v>59</v>
      </c>
    </row>
    <row r="18" customFormat="false" ht="27.75" hidden="false" customHeight="true" outlineLevel="0" collapsed="false">
      <c r="A18" s="8" t="s">
        <v>222</v>
      </c>
      <c r="B18" s="8" t="s">
        <v>223</v>
      </c>
      <c r="C18" s="8" t="s">
        <v>224</v>
      </c>
      <c r="D18" s="8" t="s">
        <v>225</v>
      </c>
      <c r="E18" s="30" t="n">
        <v>60</v>
      </c>
      <c r="F18" s="10" t="n">
        <f aca="false">ROUND(60*7.8,2)</f>
        <v>468</v>
      </c>
      <c r="G18" s="8" t="s">
        <v>204</v>
      </c>
      <c r="H18" s="20" t="s">
        <v>205</v>
      </c>
      <c r="I18" s="21" t="s">
        <v>226</v>
      </c>
      <c r="J18" s="8" t="s">
        <v>59</v>
      </c>
    </row>
    <row r="19" customFormat="false" ht="27.75" hidden="false" customHeight="true" outlineLevel="0" collapsed="false">
      <c r="A19" s="8" t="s">
        <v>83</v>
      </c>
      <c r="B19" s="8" t="s">
        <v>227</v>
      </c>
      <c r="C19" s="8" t="s">
        <v>228</v>
      </c>
      <c r="D19" s="8" t="s">
        <v>229</v>
      </c>
      <c r="E19" s="30" t="n">
        <v>8</v>
      </c>
      <c r="F19" s="10" t="n">
        <v>450</v>
      </c>
      <c r="G19" s="8" t="s">
        <v>197</v>
      </c>
      <c r="H19" s="20" t="s">
        <v>198</v>
      </c>
      <c r="I19" s="21" t="s">
        <v>230</v>
      </c>
      <c r="J19" s="8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64"/>
  </cols>
  <sheetData>
    <row r="1" customFormat="false" ht="24" hidden="false" customHeight="tru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31.5" hidden="false" customHeight="true" outlineLevel="0" collapsed="false">
      <c r="A4" s="7" t="s">
        <v>233</v>
      </c>
      <c r="B4" s="7" t="s">
        <v>24</v>
      </c>
      <c r="C4" s="7" t="s">
        <v>99</v>
      </c>
      <c r="D4" s="7" t="s">
        <v>234</v>
      </c>
      <c r="E4" s="7" t="s">
        <v>235</v>
      </c>
      <c r="F4" s="7" t="s">
        <v>35</v>
      </c>
      <c r="G4" s="7" t="s">
        <v>236</v>
      </c>
      <c r="H4" s="7" t="s">
        <v>150</v>
      </c>
      <c r="I4" s="7" t="s">
        <v>112</v>
      </c>
      <c r="J4" s="7" t="s">
        <v>151</v>
      </c>
    </row>
    <row r="5" customFormat="false" ht="18" hidden="false" customHeight="true" outlineLevel="0" collapsed="false">
      <c r="A5" s="20" t="str">
        <f aca="false">B5&amp;"|"&amp;D5</f>
        <v>USA|Marítimo</v>
      </c>
      <c r="B5" s="8" t="s">
        <v>57</v>
      </c>
      <c r="C5" s="20" t="str">
        <f aca="false">INDEX(Paises!$B:$B,MATCH(B5,Paises!$A:$A,0))</f>
        <v>Estados Unidos</v>
      </c>
      <c r="D5" s="8" t="s">
        <v>59</v>
      </c>
      <c r="E5" s="10" t="n">
        <v>0.18</v>
      </c>
      <c r="F5" s="31" t="n">
        <v>0.005</v>
      </c>
      <c r="G5" s="11" t="n">
        <v>7</v>
      </c>
      <c r="H5" s="8" t="s">
        <v>197</v>
      </c>
      <c r="I5" s="20" t="s">
        <v>198</v>
      </c>
      <c r="J5" s="21" t="s">
        <v>237</v>
      </c>
    </row>
    <row r="6" customFormat="false" ht="18" hidden="false" customHeight="true" outlineLevel="0" collapsed="false">
      <c r="A6" s="20" t="str">
        <f aca="false">B6&amp;"|"&amp;D6</f>
        <v>USA|Aéreo</v>
      </c>
      <c r="B6" s="8" t="s">
        <v>57</v>
      </c>
      <c r="C6" s="20" t="str">
        <f aca="false">INDEX(Paises!$B:$B,MATCH(B6,Paises!$A:$A,0))</f>
        <v>Estados Unidos</v>
      </c>
      <c r="D6" s="8" t="s">
        <v>69</v>
      </c>
      <c r="E6" s="10" t="n">
        <v>1.6</v>
      </c>
      <c r="F6" s="31" t="n">
        <v>0.0035</v>
      </c>
      <c r="G6" s="11" t="n">
        <v>1</v>
      </c>
      <c r="H6" s="8" t="s">
        <v>197</v>
      </c>
      <c r="I6" s="20" t="s">
        <v>198</v>
      </c>
      <c r="J6" s="21" t="s">
        <v>237</v>
      </c>
    </row>
    <row r="7" customFormat="false" ht="18" hidden="false" customHeight="true" outlineLevel="0" collapsed="false">
      <c r="A7" s="20" t="str">
        <f aca="false">B7&amp;"|"&amp;D7</f>
        <v>NLD|Marítimo</v>
      </c>
      <c r="B7" s="8" t="s">
        <v>61</v>
      </c>
      <c r="C7" s="20" t="str">
        <f aca="false">INDEX(Paises!$B:$B,MATCH(B7,Paises!$A:$A,0))</f>
        <v>Países Bajos</v>
      </c>
      <c r="D7" s="8" t="s">
        <v>59</v>
      </c>
      <c r="E7" s="10" t="n">
        <f aca="false">ROUND((3200+645)/20000,2)</f>
        <v>0.19</v>
      </c>
      <c r="F7" s="31" t="n">
        <v>0.005</v>
      </c>
      <c r="G7" s="11" t="n">
        <v>18</v>
      </c>
      <c r="H7" s="8" t="s">
        <v>238</v>
      </c>
      <c r="I7" s="20" t="s">
        <v>169</v>
      </c>
      <c r="J7" s="21" t="s">
        <v>239</v>
      </c>
    </row>
    <row r="8" customFormat="false" ht="18" hidden="false" customHeight="true" outlineLevel="0" collapsed="false">
      <c r="A8" s="20" t="str">
        <f aca="false">B8&amp;"|"&amp;D8</f>
        <v>NLD|Aéreo</v>
      </c>
      <c r="B8" s="8" t="s">
        <v>61</v>
      </c>
      <c r="C8" s="20" t="str">
        <f aca="false">INDEX(Paises!$B:$B,MATCH(B8,Paises!$A:$A,0))</f>
        <v>Países Bajos</v>
      </c>
      <c r="D8" s="8" t="s">
        <v>69</v>
      </c>
      <c r="E8" s="10" t="n">
        <v>2.8</v>
      </c>
      <c r="F8" s="31" t="n">
        <v>0.0035</v>
      </c>
      <c r="G8" s="11" t="n">
        <v>2</v>
      </c>
      <c r="H8" s="8" t="s">
        <v>197</v>
      </c>
      <c r="I8" s="20" t="s">
        <v>198</v>
      </c>
      <c r="J8" s="21" t="s">
        <v>237</v>
      </c>
    </row>
    <row r="9" customFormat="false" ht="18" hidden="false" customHeight="true" outlineLevel="0" collapsed="false">
      <c r="A9" s="20" t="str">
        <f aca="false">B9&amp;"|"&amp;D9</f>
        <v>BEL|Marítimo</v>
      </c>
      <c r="B9" s="8" t="s">
        <v>124</v>
      </c>
      <c r="C9" s="20" t="str">
        <f aca="false">INDEX(Paises!$B:$B,MATCH(B9,Paises!$A:$A,0))</f>
        <v>Bélgica</v>
      </c>
      <c r="D9" s="8" t="s">
        <v>59</v>
      </c>
      <c r="E9" s="10" t="n">
        <f aca="false">$E$7</f>
        <v>0.19</v>
      </c>
      <c r="F9" s="31" t="n">
        <v>0.005</v>
      </c>
      <c r="G9" s="11" t="n">
        <v>18</v>
      </c>
      <c r="H9" s="8" t="s">
        <v>197</v>
      </c>
      <c r="I9" s="20" t="s">
        <v>198</v>
      </c>
      <c r="J9" s="21" t="s">
        <v>240</v>
      </c>
    </row>
    <row r="10" customFormat="false" ht="18" hidden="false" customHeight="true" outlineLevel="0" collapsed="false">
      <c r="A10" s="20" t="str">
        <f aca="false">B10&amp;"|"&amp;D10</f>
        <v>BEL|Aéreo</v>
      </c>
      <c r="B10" s="8" t="s">
        <v>124</v>
      </c>
      <c r="C10" s="20" t="str">
        <f aca="false">INDEX(Paises!$B:$B,MATCH(B10,Paises!$A:$A,0))</f>
        <v>Bélgica</v>
      </c>
      <c r="D10" s="8" t="s">
        <v>69</v>
      </c>
      <c r="E10" s="10" t="n">
        <v>2.8</v>
      </c>
      <c r="F10" s="31" t="n">
        <v>0.0035</v>
      </c>
      <c r="G10" s="11" t="n">
        <v>2</v>
      </c>
      <c r="H10" s="8" t="s">
        <v>197</v>
      </c>
      <c r="I10" s="20" t="s">
        <v>198</v>
      </c>
      <c r="J10" s="21" t="s">
        <v>237</v>
      </c>
    </row>
    <row r="11" customFormat="false" ht="18" hidden="false" customHeight="true" outlineLevel="0" collapsed="false">
      <c r="A11" s="20" t="str">
        <f aca="false">B11&amp;"|"&amp;D11</f>
        <v>DEU|Marítimo</v>
      </c>
      <c r="B11" s="8" t="s">
        <v>64</v>
      </c>
      <c r="C11" s="20" t="str">
        <f aca="false">INDEX(Paises!$B:$B,MATCH(B11,Paises!$A:$A,0))</f>
        <v>Alemania</v>
      </c>
      <c r="D11" s="8" t="s">
        <v>59</v>
      </c>
      <c r="E11" s="10" t="n">
        <f aca="false">$E$7</f>
        <v>0.19</v>
      </c>
      <c r="F11" s="31" t="n">
        <v>0.005</v>
      </c>
      <c r="G11" s="11" t="n">
        <v>20</v>
      </c>
      <c r="H11" s="8" t="s">
        <v>197</v>
      </c>
      <c r="I11" s="20" t="s">
        <v>198</v>
      </c>
      <c r="J11" s="21" t="s">
        <v>240</v>
      </c>
    </row>
    <row r="12" customFormat="false" ht="18" hidden="false" customHeight="true" outlineLevel="0" collapsed="false">
      <c r="A12" s="20" t="str">
        <f aca="false">B12&amp;"|"&amp;D12</f>
        <v>DEU|Aéreo</v>
      </c>
      <c r="B12" s="8" t="s">
        <v>64</v>
      </c>
      <c r="C12" s="20" t="str">
        <f aca="false">INDEX(Paises!$B:$B,MATCH(B12,Paises!$A:$A,0))</f>
        <v>Alemania</v>
      </c>
      <c r="D12" s="8" t="s">
        <v>69</v>
      </c>
      <c r="E12" s="10" t="n">
        <v>2.9</v>
      </c>
      <c r="F12" s="31" t="n">
        <v>0.0035</v>
      </c>
      <c r="G12" s="11" t="n">
        <v>2</v>
      </c>
      <c r="H12" s="8" t="s">
        <v>197</v>
      </c>
      <c r="I12" s="20" t="s">
        <v>198</v>
      </c>
      <c r="J12" s="21" t="s">
        <v>237</v>
      </c>
    </row>
    <row r="13" customFormat="false" ht="18" hidden="false" customHeight="true" outlineLevel="0" collapsed="false">
      <c r="A13" s="20" t="str">
        <f aca="false">B13&amp;"|"&amp;D13</f>
        <v>ESP|Marítimo</v>
      </c>
      <c r="B13" s="8" t="s">
        <v>79</v>
      </c>
      <c r="C13" s="20" t="str">
        <f aca="false">INDEX(Paises!$B:$B,MATCH(B13,Paises!$A:$A,0))</f>
        <v>España</v>
      </c>
      <c r="D13" s="8" t="s">
        <v>59</v>
      </c>
      <c r="E13" s="10" t="n">
        <f aca="false">$E$7</f>
        <v>0.19</v>
      </c>
      <c r="F13" s="31" t="n">
        <v>0.005</v>
      </c>
      <c r="G13" s="11" t="n">
        <v>16</v>
      </c>
      <c r="H13" s="8" t="s">
        <v>197</v>
      </c>
      <c r="I13" s="20" t="s">
        <v>198</v>
      </c>
      <c r="J13" s="21" t="s">
        <v>240</v>
      </c>
    </row>
    <row r="14" customFormat="false" ht="18" hidden="false" customHeight="true" outlineLevel="0" collapsed="false">
      <c r="A14" s="20" t="str">
        <f aca="false">B14&amp;"|"&amp;D14</f>
        <v>ESP|Aéreo</v>
      </c>
      <c r="B14" s="8" t="s">
        <v>79</v>
      </c>
      <c r="C14" s="20" t="str">
        <f aca="false">INDEX(Paises!$B:$B,MATCH(B14,Paises!$A:$A,0))</f>
        <v>España</v>
      </c>
      <c r="D14" s="8" t="s">
        <v>69</v>
      </c>
      <c r="E14" s="10" t="n">
        <v>2.7</v>
      </c>
      <c r="F14" s="31" t="n">
        <v>0.0035</v>
      </c>
      <c r="G14" s="11" t="n">
        <v>2</v>
      </c>
      <c r="H14" s="8" t="s">
        <v>197</v>
      </c>
      <c r="I14" s="20" t="s">
        <v>198</v>
      </c>
      <c r="J14" s="21" t="s">
        <v>237</v>
      </c>
    </row>
    <row r="15" customFormat="false" ht="18" hidden="false" customHeight="true" outlineLevel="0" collapsed="false">
      <c r="A15" s="20" t="str">
        <f aca="false">B15&amp;"|"&amp;D15</f>
        <v>GBR|Marítimo</v>
      </c>
      <c r="B15" s="8" t="s">
        <v>71</v>
      </c>
      <c r="C15" s="20" t="str">
        <f aca="false">INDEX(Paises!$B:$B,MATCH(B15,Paises!$A:$A,0))</f>
        <v>Reino Unido</v>
      </c>
      <c r="D15" s="8" t="s">
        <v>59</v>
      </c>
      <c r="E15" s="10" t="n">
        <f aca="false">$E$7</f>
        <v>0.19</v>
      </c>
      <c r="F15" s="31" t="n">
        <v>0.005</v>
      </c>
      <c r="G15" s="11" t="n">
        <v>19</v>
      </c>
      <c r="H15" s="8" t="s">
        <v>197</v>
      </c>
      <c r="I15" s="20" t="s">
        <v>198</v>
      </c>
      <c r="J15" s="21" t="s">
        <v>240</v>
      </c>
    </row>
    <row r="16" customFormat="false" ht="18" hidden="false" customHeight="true" outlineLevel="0" collapsed="false">
      <c r="A16" s="20" t="str">
        <f aca="false">B16&amp;"|"&amp;D16</f>
        <v>GBR|Aéreo</v>
      </c>
      <c r="B16" s="8" t="s">
        <v>71</v>
      </c>
      <c r="C16" s="20" t="str">
        <f aca="false">INDEX(Paises!$B:$B,MATCH(B16,Paises!$A:$A,0))</f>
        <v>Reino Unido</v>
      </c>
      <c r="D16" s="8" t="s">
        <v>69</v>
      </c>
      <c r="E16" s="10" t="n">
        <v>2.9</v>
      </c>
      <c r="F16" s="31" t="n">
        <v>0.0035</v>
      </c>
      <c r="G16" s="11" t="n">
        <v>2</v>
      </c>
      <c r="H16" s="8" t="s">
        <v>197</v>
      </c>
      <c r="I16" s="20" t="s">
        <v>198</v>
      </c>
      <c r="J16" s="21" t="s">
        <v>237</v>
      </c>
    </row>
    <row r="17" customFormat="false" ht="18" hidden="false" customHeight="true" outlineLevel="0" collapsed="false">
      <c r="A17" s="20" t="str">
        <f aca="false">B17&amp;"|"&amp;D17</f>
        <v>MEX|Marítimo</v>
      </c>
      <c r="B17" s="8" t="s">
        <v>82</v>
      </c>
      <c r="C17" s="20" t="str">
        <f aca="false">INDEX(Paises!$B:$B,MATCH(B17,Paises!$A:$A,0))</f>
        <v>México</v>
      </c>
      <c r="D17" s="8" t="s">
        <v>59</v>
      </c>
      <c r="E17" s="10" t="n">
        <v>0.22</v>
      </c>
      <c r="F17" s="31" t="n">
        <v>0.005</v>
      </c>
      <c r="G17" s="11" t="n">
        <v>9</v>
      </c>
      <c r="H17" s="8" t="s">
        <v>197</v>
      </c>
      <c r="I17" s="20" t="s">
        <v>198</v>
      </c>
      <c r="J17" s="21" t="s">
        <v>237</v>
      </c>
    </row>
    <row r="18" customFormat="false" ht="18" hidden="false" customHeight="true" outlineLevel="0" collapsed="false">
      <c r="A18" s="20" t="str">
        <f aca="false">B18&amp;"|"&amp;D18</f>
        <v>MEX|Aéreo</v>
      </c>
      <c r="B18" s="8" t="s">
        <v>82</v>
      </c>
      <c r="C18" s="20" t="str">
        <f aca="false">INDEX(Paises!$B:$B,MATCH(B18,Paises!$A:$A,0))</f>
        <v>México</v>
      </c>
      <c r="D18" s="8" t="s">
        <v>69</v>
      </c>
      <c r="E18" s="10" t="n">
        <v>1.8</v>
      </c>
      <c r="F18" s="31" t="n">
        <v>0.0035</v>
      </c>
      <c r="G18" s="11" t="n">
        <v>1</v>
      </c>
      <c r="H18" s="8" t="s">
        <v>197</v>
      </c>
      <c r="I18" s="20" t="s">
        <v>198</v>
      </c>
      <c r="J18" s="21" t="s">
        <v>237</v>
      </c>
    </row>
    <row r="19" customFormat="false" ht="18" hidden="false" customHeight="true" outlineLevel="0" collapsed="false">
      <c r="A19" s="20" t="str">
        <f aca="false">B19&amp;"|"&amp;D19</f>
        <v>CAN|Marítimo</v>
      </c>
      <c r="B19" s="8" t="s">
        <v>74</v>
      </c>
      <c r="C19" s="20" t="str">
        <f aca="false">INDEX(Paises!$B:$B,MATCH(B19,Paises!$A:$A,0))</f>
        <v>Canadá</v>
      </c>
      <c r="D19" s="8" t="s">
        <v>59</v>
      </c>
      <c r="E19" s="10" t="n">
        <v>0.3</v>
      </c>
      <c r="F19" s="31" t="n">
        <v>0.005</v>
      </c>
      <c r="G19" s="11" t="n">
        <v>14</v>
      </c>
      <c r="H19" s="8" t="s">
        <v>197</v>
      </c>
      <c r="I19" s="20" t="s">
        <v>198</v>
      </c>
      <c r="J19" s="21" t="s">
        <v>237</v>
      </c>
    </row>
    <row r="20" customFormat="false" ht="18" hidden="false" customHeight="true" outlineLevel="0" collapsed="false">
      <c r="A20" s="20" t="str">
        <f aca="false">B20&amp;"|"&amp;D20</f>
        <v>CAN|Aéreo</v>
      </c>
      <c r="B20" s="8" t="s">
        <v>74</v>
      </c>
      <c r="C20" s="20" t="str">
        <f aca="false">INDEX(Paises!$B:$B,MATCH(B20,Paises!$A:$A,0))</f>
        <v>Canadá</v>
      </c>
      <c r="D20" s="8" t="s">
        <v>69</v>
      </c>
      <c r="E20" s="10" t="n">
        <v>2.2</v>
      </c>
      <c r="F20" s="31" t="n">
        <v>0.0035</v>
      </c>
      <c r="G20" s="11" t="n">
        <v>2</v>
      </c>
      <c r="H20" s="8" t="s">
        <v>197</v>
      </c>
      <c r="I20" s="20" t="s">
        <v>198</v>
      </c>
      <c r="J20" s="21" t="s">
        <v>237</v>
      </c>
    </row>
    <row r="21" customFormat="false" ht="18" hidden="false" customHeight="true" outlineLevel="0" collapsed="false">
      <c r="A21" s="20" t="str">
        <f aca="false">B21&amp;"|"&amp;D21</f>
        <v>CHN|Marítimo</v>
      </c>
      <c r="B21" s="8" t="s">
        <v>85</v>
      </c>
      <c r="C21" s="20" t="str">
        <f aca="false">INDEX(Paises!$B:$B,MATCH(B21,Paises!$A:$A,0))</f>
        <v>China</v>
      </c>
      <c r="D21" s="8" t="s">
        <v>59</v>
      </c>
      <c r="E21" s="10" t="n">
        <v>0.45</v>
      </c>
      <c r="F21" s="31" t="n">
        <v>0.005</v>
      </c>
      <c r="G21" s="11" t="n">
        <v>35</v>
      </c>
      <c r="H21" s="8" t="s">
        <v>197</v>
      </c>
      <c r="I21" s="20" t="s">
        <v>198</v>
      </c>
      <c r="J21" s="21" t="s">
        <v>237</v>
      </c>
    </row>
    <row r="22" customFormat="false" ht="18" hidden="false" customHeight="true" outlineLevel="0" collapsed="false">
      <c r="A22" s="20" t="str">
        <f aca="false">B22&amp;"|"&amp;D22</f>
        <v>CHN|Aéreo</v>
      </c>
      <c r="B22" s="8" t="s">
        <v>85</v>
      </c>
      <c r="C22" s="20" t="str">
        <f aca="false">INDEX(Paises!$B:$B,MATCH(B22,Paises!$A:$A,0))</f>
        <v>China</v>
      </c>
      <c r="D22" s="8" t="s">
        <v>69</v>
      </c>
      <c r="E22" s="10" t="n">
        <v>3.8</v>
      </c>
      <c r="F22" s="31" t="n">
        <v>0.0035</v>
      </c>
      <c r="G22" s="11" t="n">
        <v>3</v>
      </c>
      <c r="H22" s="8" t="s">
        <v>197</v>
      </c>
      <c r="I22" s="20" t="s">
        <v>198</v>
      </c>
      <c r="J22" s="21" t="s">
        <v>237</v>
      </c>
    </row>
    <row r="23" customFormat="false" ht="18" hidden="false" customHeight="true" outlineLevel="0" collapsed="false">
      <c r="A23" s="20" t="str">
        <f aca="false">B23&amp;"|"&amp;D23</f>
        <v>JPN|Marítimo</v>
      </c>
      <c r="B23" s="8" t="s">
        <v>67</v>
      </c>
      <c r="C23" s="20" t="str">
        <f aca="false">INDEX(Paises!$B:$B,MATCH(B23,Paises!$A:$A,0))</f>
        <v>Japón</v>
      </c>
      <c r="D23" s="8" t="s">
        <v>59</v>
      </c>
      <c r="E23" s="10" t="n">
        <v>0.48</v>
      </c>
      <c r="F23" s="31" t="n">
        <v>0.005</v>
      </c>
      <c r="G23" s="11" t="n">
        <v>32</v>
      </c>
      <c r="H23" s="8" t="s">
        <v>197</v>
      </c>
      <c r="I23" s="20" t="s">
        <v>198</v>
      </c>
      <c r="J23" s="21" t="s">
        <v>237</v>
      </c>
    </row>
    <row r="24" customFormat="false" ht="18" hidden="false" customHeight="true" outlineLevel="0" collapsed="false">
      <c r="A24" s="20" t="str">
        <f aca="false">B24&amp;"|"&amp;D24</f>
        <v>JPN|Aéreo</v>
      </c>
      <c r="B24" s="8" t="s">
        <v>67</v>
      </c>
      <c r="C24" s="20" t="str">
        <f aca="false">INDEX(Paises!$B:$B,MATCH(B24,Paises!$A:$A,0))</f>
        <v>Japón</v>
      </c>
      <c r="D24" s="8" t="s">
        <v>69</v>
      </c>
      <c r="E24" s="10" t="n">
        <v>3.9</v>
      </c>
      <c r="F24" s="31" t="n">
        <v>0.0035</v>
      </c>
      <c r="G24" s="11" t="n">
        <v>3</v>
      </c>
      <c r="H24" s="8" t="s">
        <v>197</v>
      </c>
      <c r="I24" s="20" t="s">
        <v>198</v>
      </c>
      <c r="J24" s="21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24"/>
    <col collapsed="false" customWidth="true" hidden="false" outlineLevel="0" max="10" min="10" style="0" width="52"/>
  </cols>
  <sheetData>
    <row r="1" customFormat="false" ht="24" hidden="false" customHeight="true" outlineLevel="0" collapsed="false">
      <c r="A1" s="1" t="s">
        <v>241</v>
      </c>
    </row>
    <row r="2" customFormat="false" ht="15" hidden="false" customHeight="false" outlineLevel="0" collapsed="false">
      <c r="A2" s="2" t="s">
        <v>242</v>
      </c>
    </row>
    <row r="4" customFormat="false" ht="31.5" hidden="false" customHeight="true" outlineLevel="0" collapsed="false">
      <c r="A4" s="7" t="s">
        <v>233</v>
      </c>
      <c r="B4" s="7" t="s">
        <v>24</v>
      </c>
      <c r="C4" s="7" t="s">
        <v>243</v>
      </c>
      <c r="D4" s="7" t="s">
        <v>99</v>
      </c>
      <c r="E4" s="7" t="s">
        <v>25</v>
      </c>
      <c r="F4" s="7" t="s">
        <v>244</v>
      </c>
      <c r="G4" s="7" t="s">
        <v>150</v>
      </c>
      <c r="H4" s="7" t="s">
        <v>245</v>
      </c>
      <c r="I4" s="7" t="s">
        <v>112</v>
      </c>
      <c r="J4" s="7" t="s">
        <v>151</v>
      </c>
    </row>
    <row r="5" customFormat="false" ht="18" hidden="false" customHeight="true" outlineLevel="0" collapsed="false">
      <c r="A5" s="20" t="str">
        <f aca="false">B5&amp;"|"&amp;C5</f>
        <v>USA|P01</v>
      </c>
      <c r="B5" s="8" t="s">
        <v>57</v>
      </c>
      <c r="C5" s="8" t="s">
        <v>58</v>
      </c>
      <c r="D5" s="20" t="str">
        <f aca="false">INDEX(Paises!$B:$B,MATCH(B5,Paises!$A:$A,0))</f>
        <v>Estados Unidos</v>
      </c>
      <c r="E5" s="20" t="str">
        <f aca="false">INDEX(Productos!$B:$B,MATCH(C5,Productos!$A:$A,0))</f>
        <v>Banano</v>
      </c>
      <c r="F5" s="32" t="n">
        <v>0</v>
      </c>
      <c r="G5" s="8" t="s">
        <v>246</v>
      </c>
      <c r="H5" s="20" t="s">
        <v>247</v>
      </c>
      <c r="I5" s="20" t="s">
        <v>248</v>
      </c>
      <c r="J5" s="20" t="s">
        <v>249</v>
      </c>
    </row>
    <row r="6" customFormat="false" ht="18" hidden="false" customHeight="true" outlineLevel="0" collapsed="false">
      <c r="A6" s="20" t="str">
        <f aca="false">B6&amp;"|"&amp;C6</f>
        <v>NLD|P02</v>
      </c>
      <c r="B6" s="8" t="s">
        <v>61</v>
      </c>
      <c r="C6" s="8" t="s">
        <v>62</v>
      </c>
      <c r="D6" s="20" t="str">
        <f aca="false">INDEX(Paises!$B:$B,MATCH(B6,Paises!$A:$A,0))</f>
        <v>Países Bajos</v>
      </c>
      <c r="E6" s="20" t="str">
        <f aca="false">INDEX(Productos!$B:$B,MATCH(C6,Productos!$A:$A,0))</f>
        <v>Piña</v>
      </c>
      <c r="F6" s="32" t="n">
        <v>0.058</v>
      </c>
      <c r="G6" s="8" t="s">
        <v>250</v>
      </c>
      <c r="H6" s="20" t="s">
        <v>247</v>
      </c>
      <c r="I6" s="20" t="s">
        <v>248</v>
      </c>
      <c r="J6" s="20" t="s">
        <v>251</v>
      </c>
    </row>
    <row r="7" customFormat="false" ht="18" hidden="false" customHeight="true" outlineLevel="0" collapsed="false">
      <c r="A7" s="20" t="str">
        <f aca="false">B7&amp;"|"&amp;C7</f>
        <v>DEU|P03</v>
      </c>
      <c r="B7" s="8" t="s">
        <v>64</v>
      </c>
      <c r="C7" s="8" t="s">
        <v>65</v>
      </c>
      <c r="D7" s="20" t="str">
        <f aca="false">INDEX(Paises!$B:$B,MATCH(B7,Paises!$A:$A,0))</f>
        <v>Alemania</v>
      </c>
      <c r="E7" s="20" t="str">
        <f aca="false">INDEX(Productos!$B:$B,MATCH(C7,Productos!$A:$A,0))</f>
        <v>Café oro (verde)</v>
      </c>
      <c r="F7" s="32" t="n">
        <v>0</v>
      </c>
      <c r="G7" s="8" t="s">
        <v>250</v>
      </c>
      <c r="H7" s="20" t="s">
        <v>247</v>
      </c>
      <c r="I7" s="20" t="s">
        <v>252</v>
      </c>
      <c r="J7" s="20" t="s">
        <v>253</v>
      </c>
    </row>
    <row r="8" customFormat="false" ht="18" hidden="false" customHeight="true" outlineLevel="0" collapsed="false">
      <c r="A8" s="20" t="str">
        <f aca="false">B8&amp;"|"&amp;C8</f>
        <v>JPN|P04</v>
      </c>
      <c r="B8" s="8" t="s">
        <v>67</v>
      </c>
      <c r="C8" s="8" t="s">
        <v>68</v>
      </c>
      <c r="D8" s="20" t="str">
        <f aca="false">INDEX(Paises!$B:$B,MATCH(B8,Paises!$A:$A,0))</f>
        <v>Japón</v>
      </c>
      <c r="E8" s="20" t="str">
        <f aca="false">INDEX(Productos!$B:$B,MATCH(C8,Productos!$A:$A,0))</f>
        <v>Café tostado</v>
      </c>
      <c r="F8" s="32" t="n">
        <v>0.12</v>
      </c>
      <c r="G8" s="8" t="s">
        <v>254</v>
      </c>
      <c r="H8" s="20" t="s">
        <v>247</v>
      </c>
      <c r="I8" s="20" t="s">
        <v>157</v>
      </c>
      <c r="J8" s="20" t="s">
        <v>255</v>
      </c>
    </row>
    <row r="9" customFormat="false" ht="18" hidden="false" customHeight="true" outlineLevel="0" collapsed="false">
      <c r="A9" s="20" t="str">
        <f aca="false">B9&amp;"|"&amp;C9</f>
        <v>GBR|P05</v>
      </c>
      <c r="B9" s="8" t="s">
        <v>71</v>
      </c>
      <c r="C9" s="8" t="s">
        <v>72</v>
      </c>
      <c r="D9" s="20" t="str">
        <f aca="false">INDEX(Paises!$B:$B,MATCH(B9,Paises!$A:$A,0))</f>
        <v>Reino Unido</v>
      </c>
      <c r="E9" s="20" t="str">
        <f aca="false">INDEX(Productos!$B:$B,MATCH(C9,Productos!$A:$A,0))</f>
        <v>Melón</v>
      </c>
      <c r="F9" s="32" t="n">
        <v>0.08</v>
      </c>
      <c r="G9" s="8" t="s">
        <v>256</v>
      </c>
      <c r="H9" s="20" t="s">
        <v>247</v>
      </c>
      <c r="I9" s="20" t="s">
        <v>248</v>
      </c>
      <c r="J9" s="20" t="s">
        <v>257</v>
      </c>
    </row>
    <row r="10" customFormat="false" ht="18" hidden="false" customHeight="true" outlineLevel="0" collapsed="false">
      <c r="A10" s="20" t="str">
        <f aca="false">B10&amp;"|"&amp;C10</f>
        <v>CAN|P06</v>
      </c>
      <c r="B10" s="8" t="s">
        <v>74</v>
      </c>
      <c r="C10" s="8" t="s">
        <v>75</v>
      </c>
      <c r="D10" s="20" t="str">
        <f aca="false">INDEX(Paises!$B:$B,MATCH(B10,Paises!$A:$A,0))</f>
        <v>Canadá</v>
      </c>
      <c r="E10" s="20" t="str">
        <f aca="false">INDEX(Productos!$B:$B,MATCH(C10,Productos!$A:$A,0))</f>
        <v>Mango</v>
      </c>
      <c r="F10" s="32" t="n">
        <v>0</v>
      </c>
      <c r="G10" s="8" t="s">
        <v>258</v>
      </c>
      <c r="H10" s="20" t="s">
        <v>247</v>
      </c>
      <c r="I10" s="20" t="s">
        <v>157</v>
      </c>
      <c r="J10" s="20" t="s">
        <v>259</v>
      </c>
    </row>
    <row r="11" customFormat="false" ht="18" hidden="false" customHeight="true" outlineLevel="0" collapsed="false">
      <c r="A11" s="20" t="str">
        <f aca="false">B11&amp;"|"&amp;C11</f>
        <v>USA|P07</v>
      </c>
      <c r="B11" s="8" t="s">
        <v>57</v>
      </c>
      <c r="C11" s="8" t="s">
        <v>77</v>
      </c>
      <c r="D11" s="20" t="str">
        <f aca="false">INDEX(Paises!$B:$B,MATCH(B11,Paises!$A:$A,0))</f>
        <v>Estados Unidos</v>
      </c>
      <c r="E11" s="20" t="str">
        <f aca="false">INDEX(Productos!$B:$B,MATCH(C11,Productos!$A:$A,0))</f>
        <v>Yuca</v>
      </c>
      <c r="F11" s="32" t="n">
        <v>0.113</v>
      </c>
      <c r="G11" s="8" t="s">
        <v>246</v>
      </c>
      <c r="H11" s="20" t="s">
        <v>247</v>
      </c>
      <c r="I11" s="20" t="s">
        <v>248</v>
      </c>
      <c r="J11" s="20" t="s">
        <v>260</v>
      </c>
    </row>
    <row r="12" customFormat="false" ht="18" hidden="false" customHeight="true" outlineLevel="0" collapsed="false">
      <c r="A12" s="20" t="str">
        <f aca="false">B12&amp;"|"&amp;C12</f>
        <v>ESP|P09</v>
      </c>
      <c r="B12" s="8" t="s">
        <v>79</v>
      </c>
      <c r="C12" s="8" t="s">
        <v>80</v>
      </c>
      <c r="D12" s="20" t="str">
        <f aca="false">INDEX(Paises!$B:$B,MATCH(B12,Paises!$A:$A,0))</f>
        <v>España</v>
      </c>
      <c r="E12" s="20" t="str">
        <f aca="false">INDEX(Productos!$B:$B,MATCH(C12,Productos!$A:$A,0))</f>
        <v>Plantas ornamentales</v>
      </c>
      <c r="F12" s="32" t="n">
        <v>0.065</v>
      </c>
      <c r="G12" s="8" t="s">
        <v>250</v>
      </c>
      <c r="H12" s="20" t="s">
        <v>247</v>
      </c>
      <c r="I12" s="20" t="s">
        <v>248</v>
      </c>
      <c r="J12" s="20" t="s">
        <v>261</v>
      </c>
    </row>
    <row r="13" customFormat="false" ht="18" hidden="false" customHeight="true" outlineLevel="0" collapsed="false">
      <c r="A13" s="20" t="str">
        <f aca="false">B13&amp;"|"&amp;C13</f>
        <v>MEX|P15</v>
      </c>
      <c r="B13" s="8" t="s">
        <v>82</v>
      </c>
      <c r="C13" s="8" t="s">
        <v>83</v>
      </c>
      <c r="D13" s="20" t="str">
        <f aca="false">INDEX(Paises!$B:$B,MATCH(B13,Paises!$A:$A,0))</f>
        <v>México</v>
      </c>
      <c r="E13" s="20" t="str">
        <f aca="false">INDEX(Productos!$B:$B,MATCH(C13,Productos!$A:$A,0))</f>
        <v>Dispositivos médicos (catéteres)</v>
      </c>
      <c r="F13" s="32" t="n">
        <v>0</v>
      </c>
      <c r="G13" s="8" t="s">
        <v>262</v>
      </c>
      <c r="H13" s="20" t="s">
        <v>247</v>
      </c>
      <c r="I13" s="20" t="s">
        <v>248</v>
      </c>
      <c r="J13" s="20" t="s">
        <v>263</v>
      </c>
    </row>
    <row r="14" customFormat="false" ht="18" hidden="false" customHeight="true" outlineLevel="0" collapsed="false">
      <c r="A14" s="20" t="str">
        <f aca="false">B14&amp;"|"&amp;C14</f>
        <v>CHN|P12</v>
      </c>
      <c r="B14" s="8" t="s">
        <v>85</v>
      </c>
      <c r="C14" s="8" t="s">
        <v>86</v>
      </c>
      <c r="D14" s="20" t="str">
        <f aca="false">INDEX(Paises!$B:$B,MATCH(B14,Paises!$A:$A,0))</f>
        <v>China</v>
      </c>
      <c r="E14" s="20" t="str">
        <f aca="false">INDEX(Productos!$B:$B,MATCH(C14,Productos!$A:$A,0))</f>
        <v>Jugo concentrado de piña</v>
      </c>
      <c r="F14" s="32" t="n">
        <v>0.05</v>
      </c>
      <c r="G14" s="8" t="s">
        <v>264</v>
      </c>
      <c r="H14" s="20" t="s">
        <v>247</v>
      </c>
      <c r="I14" s="20" t="s">
        <v>248</v>
      </c>
      <c r="J14" s="20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7" min="6" style="0" width="14"/>
    <col collapsed="false" customWidth="true" hidden="false" outlineLevel="0" max="8" min="8" style="0" width="8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1" t="s">
        <v>266</v>
      </c>
    </row>
    <row r="2" customFormat="false" ht="15" hidden="false" customHeight="false" outlineLevel="0" collapsed="false">
      <c r="A2" s="2" t="s">
        <v>267</v>
      </c>
    </row>
    <row r="4" customFormat="false" ht="31.5" hidden="false" customHeight="true" outlineLevel="0" collapsed="false">
      <c r="A4" s="7" t="s">
        <v>233</v>
      </c>
      <c r="B4" s="7" t="s">
        <v>24</v>
      </c>
      <c r="C4" s="7" t="s">
        <v>243</v>
      </c>
      <c r="D4" s="7" t="s">
        <v>99</v>
      </c>
      <c r="E4" s="7" t="s">
        <v>25</v>
      </c>
      <c r="F4" s="7" t="s">
        <v>268</v>
      </c>
      <c r="G4" s="7" t="s">
        <v>269</v>
      </c>
      <c r="H4" s="7" t="s">
        <v>150</v>
      </c>
      <c r="I4" s="7" t="s">
        <v>112</v>
      </c>
      <c r="J4" s="7" t="s">
        <v>152</v>
      </c>
    </row>
    <row r="5" customFormat="false" ht="18" hidden="false" customHeight="true" outlineLevel="0" collapsed="false">
      <c r="A5" s="20" t="str">
        <f aca="false">B5&amp;"|"&amp;C5</f>
        <v>USA|P01</v>
      </c>
      <c r="B5" s="8" t="s">
        <v>57</v>
      </c>
      <c r="C5" s="8" t="s">
        <v>58</v>
      </c>
      <c r="D5" s="20" t="str">
        <f aca="false">INDEX(Paises!$B:$B,MATCH(B5,Paises!$A:$A,0))</f>
        <v>Estados Unidos</v>
      </c>
      <c r="E5" s="20" t="str">
        <f aca="false">INDEX(Productos!$B:$B,MATCH(C5,Productos!$A:$A,0))</f>
        <v>Banano</v>
      </c>
      <c r="F5" s="13" t="n">
        <f aca="false">ROUND((INDEX(Productos!$F:$F,MATCH(C5,Productos!$A:$A,0))+INDEX(Productos!$E:$E,MATCH(C5,Productos!$A:$A,0))*INDEX(Rutas!$E:$E,MATCH(B5&amp;"|"&amp;J5,Rutas!$A:$A,0)))*(1+INDEX(Rutas!$F:$F,MATCH(B5&amp;"|"&amp;J5,Rutas!$A:$A,0)))*(1+INDEX(Aranceles!$F:$F,MATCH(B5&amp;"|"&amp;C5,Aranceles!$A:$A,0)))*(1+Parametros!$B$10),2)</f>
        <v>14.6</v>
      </c>
      <c r="G5" s="9" t="n">
        <v>4000</v>
      </c>
      <c r="H5" s="20" t="s">
        <v>197</v>
      </c>
      <c r="I5" s="20" t="s">
        <v>270</v>
      </c>
      <c r="J5" s="20" t="str">
        <f aca="false">INDEX(Productos!$J:$J,MATCH(C5,Productos!$A:$A,0))</f>
        <v>Marítimo</v>
      </c>
    </row>
    <row r="6" customFormat="false" ht="18" hidden="false" customHeight="true" outlineLevel="0" collapsed="false">
      <c r="A6" s="20" t="str">
        <f aca="false">B6&amp;"|"&amp;C6</f>
        <v>NLD|P02</v>
      </c>
      <c r="B6" s="8" t="s">
        <v>61</v>
      </c>
      <c r="C6" s="8" t="s">
        <v>62</v>
      </c>
      <c r="D6" s="20" t="str">
        <f aca="false">INDEX(Paises!$B:$B,MATCH(B6,Paises!$A:$A,0))</f>
        <v>Países Bajos</v>
      </c>
      <c r="E6" s="20" t="str">
        <f aca="false">INDEX(Productos!$B:$B,MATCH(C6,Productos!$A:$A,0))</f>
        <v>Piña</v>
      </c>
      <c r="F6" s="13" t="n">
        <f aca="false">ROUND((INDEX(Productos!$F:$F,MATCH(C6,Productos!$A:$A,0))+INDEX(Productos!$E:$E,MATCH(C6,Productos!$A:$A,0))*INDEX(Rutas!$E:$E,MATCH(B6&amp;"|"&amp;J6,Rutas!$A:$A,0)))*(1+INDEX(Rutas!$F:$F,MATCH(B6&amp;"|"&amp;J6,Rutas!$A:$A,0)))*(1+INDEX(Aranceles!$F:$F,MATCH(B6&amp;"|"&amp;C6,Aranceles!$A:$A,0)))*(1+Parametros!$B$10),2)</f>
        <v>11.74</v>
      </c>
      <c r="G6" s="9" t="n">
        <v>4500</v>
      </c>
      <c r="H6" s="20" t="s">
        <v>197</v>
      </c>
      <c r="I6" s="20" t="s">
        <v>270</v>
      </c>
      <c r="J6" s="20" t="str">
        <f aca="false">INDEX(Productos!$J:$J,MATCH(C6,Productos!$A:$A,0))</f>
        <v>Marítimo</v>
      </c>
    </row>
    <row r="7" customFormat="false" ht="18" hidden="false" customHeight="true" outlineLevel="0" collapsed="false">
      <c r="A7" s="20" t="str">
        <f aca="false">B7&amp;"|"&amp;C7</f>
        <v>DEU|P03</v>
      </c>
      <c r="B7" s="8" t="s">
        <v>64</v>
      </c>
      <c r="C7" s="8" t="s">
        <v>65</v>
      </c>
      <c r="D7" s="20" t="str">
        <f aca="false">INDEX(Paises!$B:$B,MATCH(B7,Paises!$A:$A,0))</f>
        <v>Alemania</v>
      </c>
      <c r="E7" s="20" t="str">
        <f aca="false">INDEX(Productos!$B:$B,MATCH(C7,Productos!$A:$A,0))</f>
        <v>Café oro (verde)</v>
      </c>
      <c r="F7" s="13" t="n">
        <f aca="false">ROUND((INDEX(Productos!$F:$F,MATCH(C7,Productos!$A:$A,0))+INDEX(Productos!$E:$E,MATCH(C7,Productos!$A:$A,0))*INDEX(Rutas!$E:$E,MATCH(B7&amp;"|"&amp;J7,Rutas!$A:$A,0)))*(1+INDEX(Rutas!$F:$F,MATCH(B7&amp;"|"&amp;J7,Rutas!$A:$A,0)))*(1+INDEX(Aranceles!$F:$F,MATCH(B7&amp;"|"&amp;C7,Aranceles!$A:$A,0)))*(1+Parametros!$B$10),2)</f>
        <v>365.03</v>
      </c>
      <c r="G7" s="9" t="n">
        <v>90</v>
      </c>
      <c r="H7" s="20" t="s">
        <v>197</v>
      </c>
      <c r="I7" s="20" t="s">
        <v>270</v>
      </c>
      <c r="J7" s="20" t="str">
        <f aca="false">INDEX(Productos!$J:$J,MATCH(C7,Productos!$A:$A,0))</f>
        <v>Marítimo</v>
      </c>
    </row>
    <row r="8" customFormat="false" ht="18" hidden="false" customHeight="true" outlineLevel="0" collapsed="false">
      <c r="A8" s="20" t="str">
        <f aca="false">B8&amp;"|"&amp;C8</f>
        <v>JPN|P04</v>
      </c>
      <c r="B8" s="8" t="s">
        <v>67</v>
      </c>
      <c r="C8" s="8" t="s">
        <v>68</v>
      </c>
      <c r="D8" s="20" t="str">
        <f aca="false">INDEX(Paises!$B:$B,MATCH(B8,Paises!$A:$A,0))</f>
        <v>Japón</v>
      </c>
      <c r="E8" s="20" t="str">
        <f aca="false">INDEX(Productos!$B:$B,MATCH(C8,Productos!$A:$A,0))</f>
        <v>Café tostado</v>
      </c>
      <c r="F8" s="13" t="n">
        <f aca="false">ROUND((INDEX(Productos!$F:$F,MATCH(C8,Productos!$A:$A,0))+INDEX(Productos!$E:$E,MATCH(C8,Productos!$A:$A,0))*INDEX(Rutas!$E:$E,MATCH(B8&amp;"|"&amp;J8,Rutas!$A:$A,0)))*(1+INDEX(Rutas!$F:$F,MATCH(B8&amp;"|"&amp;J8,Rutas!$A:$A,0)))*(1+INDEX(Aranceles!$F:$F,MATCH(B8&amp;"|"&amp;C8,Aranceles!$A:$A,0)))*(1+Parametros!$B$10),2)</f>
        <v>172.1</v>
      </c>
      <c r="G8" s="9" t="n">
        <v>150</v>
      </c>
      <c r="H8" s="20" t="s">
        <v>197</v>
      </c>
      <c r="I8" s="20" t="s">
        <v>270</v>
      </c>
      <c r="J8" s="20" t="str">
        <f aca="false">INDEX(Productos!$J:$J,MATCH(C8,Productos!$A:$A,0))</f>
        <v>Marítimo</v>
      </c>
    </row>
    <row r="9" customFormat="false" ht="18" hidden="false" customHeight="true" outlineLevel="0" collapsed="false">
      <c r="A9" s="20" t="str">
        <f aca="false">B9&amp;"|"&amp;C9</f>
        <v>GBR|P05</v>
      </c>
      <c r="B9" s="8" t="s">
        <v>71</v>
      </c>
      <c r="C9" s="8" t="s">
        <v>72</v>
      </c>
      <c r="D9" s="20" t="str">
        <f aca="false">INDEX(Paises!$B:$B,MATCH(B9,Paises!$A:$A,0))</f>
        <v>Reino Unido</v>
      </c>
      <c r="E9" s="20" t="str">
        <f aca="false">INDEX(Productos!$B:$B,MATCH(C9,Productos!$A:$A,0))</f>
        <v>Melón</v>
      </c>
      <c r="F9" s="13" t="n">
        <f aca="false">ROUND((INDEX(Productos!$F:$F,MATCH(C9,Productos!$A:$A,0))+INDEX(Productos!$E:$E,MATCH(C9,Productos!$A:$A,0))*INDEX(Rutas!$E:$E,MATCH(B9&amp;"|"&amp;J9,Rutas!$A:$A,0)))*(1+INDEX(Rutas!$F:$F,MATCH(B9&amp;"|"&amp;J9,Rutas!$A:$A,0)))*(1+INDEX(Aranceles!$F:$F,MATCH(B9&amp;"|"&amp;C9,Aranceles!$A:$A,0)))*(1+Parametros!$B$10),2)</f>
        <v>18.93</v>
      </c>
      <c r="G9" s="9" t="n">
        <v>3600</v>
      </c>
      <c r="H9" s="20" t="s">
        <v>197</v>
      </c>
      <c r="I9" s="20" t="s">
        <v>270</v>
      </c>
      <c r="J9" s="20" t="str">
        <f aca="false">INDEX(Productos!$J:$J,MATCH(C9,Productos!$A:$A,0))</f>
        <v>Marítimo</v>
      </c>
    </row>
    <row r="10" customFormat="false" ht="18" hidden="false" customHeight="true" outlineLevel="0" collapsed="false">
      <c r="A10" s="20" t="str">
        <f aca="false">B10&amp;"|"&amp;C10</f>
        <v>CAN|P06</v>
      </c>
      <c r="B10" s="8" t="s">
        <v>74</v>
      </c>
      <c r="C10" s="8" t="s">
        <v>75</v>
      </c>
      <c r="D10" s="20" t="str">
        <f aca="false">INDEX(Paises!$B:$B,MATCH(B10,Paises!$A:$A,0))</f>
        <v>Canadá</v>
      </c>
      <c r="E10" s="20" t="str">
        <f aca="false">INDEX(Productos!$B:$B,MATCH(C10,Productos!$A:$A,0))</f>
        <v>Mango</v>
      </c>
      <c r="F10" s="13" t="n">
        <f aca="false">ROUND((INDEX(Productos!$F:$F,MATCH(C10,Productos!$A:$A,0))+INDEX(Productos!$E:$E,MATCH(C10,Productos!$A:$A,0))*INDEX(Rutas!$E:$E,MATCH(B10&amp;"|"&amp;J10,Rutas!$A:$A,0)))*(1+INDEX(Rutas!$F:$F,MATCH(B10&amp;"|"&amp;J10,Rutas!$A:$A,0)))*(1+INDEX(Aranceles!$F:$F,MATCH(B10&amp;"|"&amp;C10,Aranceles!$A:$A,0)))*(1+Parametros!$B$10),2)</f>
        <v>8.42</v>
      </c>
      <c r="G10" s="9" t="n">
        <v>1000</v>
      </c>
      <c r="H10" s="20" t="s">
        <v>197</v>
      </c>
      <c r="I10" s="20" t="s">
        <v>270</v>
      </c>
      <c r="J10" s="20" t="str">
        <f aca="false">INDEX(Productos!$J:$J,MATCH(C10,Productos!$A:$A,0))</f>
        <v>Marítimo</v>
      </c>
    </row>
    <row r="11" customFormat="false" ht="18" hidden="false" customHeight="true" outlineLevel="0" collapsed="false">
      <c r="A11" s="20" t="str">
        <f aca="false">B11&amp;"|"&amp;C11</f>
        <v>USA|P07</v>
      </c>
      <c r="B11" s="8" t="s">
        <v>57</v>
      </c>
      <c r="C11" s="8" t="s">
        <v>77</v>
      </c>
      <c r="D11" s="20" t="str">
        <f aca="false">INDEX(Paises!$B:$B,MATCH(B11,Paises!$A:$A,0))</f>
        <v>Estados Unidos</v>
      </c>
      <c r="E11" s="20" t="str">
        <f aca="false">INDEX(Productos!$B:$B,MATCH(C11,Productos!$A:$A,0))</f>
        <v>Yuca</v>
      </c>
      <c r="F11" s="13" t="n">
        <f aca="false">ROUND((INDEX(Productos!$F:$F,MATCH(C11,Productos!$A:$A,0))+INDEX(Productos!$E:$E,MATCH(C11,Productos!$A:$A,0))*INDEX(Rutas!$E:$E,MATCH(B11&amp;"|"&amp;J11,Rutas!$A:$A,0)))*(1+INDEX(Rutas!$F:$F,MATCH(B11&amp;"|"&amp;J11,Rutas!$A:$A,0)))*(1+INDEX(Aranceles!$F:$F,MATCH(B11&amp;"|"&amp;C11,Aranceles!$A:$A,0)))*(1+Parametros!$B$10),2)</f>
        <v>31.75</v>
      </c>
      <c r="G11" s="9" t="n">
        <v>1200</v>
      </c>
      <c r="H11" s="20" t="s">
        <v>197</v>
      </c>
      <c r="I11" s="20" t="s">
        <v>270</v>
      </c>
      <c r="J11" s="20" t="str">
        <f aca="false">INDEX(Productos!$J:$J,MATCH(C11,Productos!$A:$A,0))</f>
        <v>Marítimo</v>
      </c>
    </row>
    <row r="12" customFormat="false" ht="18" hidden="false" customHeight="true" outlineLevel="0" collapsed="false">
      <c r="A12" s="20" t="str">
        <f aca="false">B12&amp;"|"&amp;C12</f>
        <v>ESP|P09</v>
      </c>
      <c r="B12" s="8" t="s">
        <v>79</v>
      </c>
      <c r="C12" s="8" t="s">
        <v>80</v>
      </c>
      <c r="D12" s="20" t="str">
        <f aca="false">INDEX(Paises!$B:$B,MATCH(B12,Paises!$A:$A,0))</f>
        <v>España</v>
      </c>
      <c r="E12" s="20" t="str">
        <f aca="false">INDEX(Productos!$B:$B,MATCH(C12,Productos!$A:$A,0))</f>
        <v>Plantas ornamentales</v>
      </c>
      <c r="F12" s="13" t="n">
        <f aca="false">ROUND((INDEX(Productos!$F:$F,MATCH(C12,Productos!$A:$A,0))+INDEX(Productos!$E:$E,MATCH(C12,Productos!$A:$A,0))*INDEX(Rutas!$E:$E,MATCH(B12&amp;"|"&amp;J12,Rutas!$A:$A,0)))*(1+INDEX(Rutas!$F:$F,MATCH(B12&amp;"|"&amp;J12,Rutas!$A:$A,0)))*(1+INDEX(Aranceles!$F:$F,MATCH(B12&amp;"|"&amp;C12,Aranceles!$A:$A,0)))*(1+Parametros!$B$10),2)</f>
        <v>69.47</v>
      </c>
      <c r="G12" s="9" t="n">
        <v>400</v>
      </c>
      <c r="H12" s="20" t="s">
        <v>197</v>
      </c>
      <c r="I12" s="20" t="s">
        <v>270</v>
      </c>
      <c r="J12" s="20" t="str">
        <f aca="false">INDEX(Productos!$J:$J,MATCH(C12,Productos!$A:$A,0))</f>
        <v>Aéreo</v>
      </c>
    </row>
    <row r="13" customFormat="false" ht="18" hidden="false" customHeight="true" outlineLevel="0" collapsed="false">
      <c r="A13" s="20" t="str">
        <f aca="false">B13&amp;"|"&amp;C13</f>
        <v>MEX|P15</v>
      </c>
      <c r="B13" s="8" t="s">
        <v>82</v>
      </c>
      <c r="C13" s="8" t="s">
        <v>83</v>
      </c>
      <c r="D13" s="20" t="str">
        <f aca="false">INDEX(Paises!$B:$B,MATCH(B13,Paises!$A:$A,0))</f>
        <v>México</v>
      </c>
      <c r="E13" s="20" t="str">
        <f aca="false">INDEX(Productos!$B:$B,MATCH(C13,Productos!$A:$A,0))</f>
        <v>Dispositivos médicos (catéteres)</v>
      </c>
      <c r="F13" s="13" t="n">
        <f aca="false">ROUND((INDEX(Productos!$F:$F,MATCH(C13,Productos!$A:$A,0))+INDEX(Productos!$E:$E,MATCH(C13,Productos!$A:$A,0))*INDEX(Rutas!$E:$E,MATCH(B13&amp;"|"&amp;J13,Rutas!$A:$A,0)))*(1+INDEX(Rutas!$F:$F,MATCH(B13&amp;"|"&amp;J13,Rutas!$A:$A,0)))*(1+INDEX(Aranceles!$F:$F,MATCH(B13&amp;"|"&amp;C13,Aranceles!$A:$A,0)))*(1+Parametros!$B$10),2)</f>
        <v>582.53</v>
      </c>
      <c r="G13" s="9" t="n">
        <v>100</v>
      </c>
      <c r="H13" s="20" t="s">
        <v>197</v>
      </c>
      <c r="I13" s="20" t="s">
        <v>270</v>
      </c>
      <c r="J13" s="20" t="str">
        <f aca="false">INDEX(Productos!$J:$J,MATCH(C13,Productos!$A:$A,0))</f>
        <v>Aéreo</v>
      </c>
    </row>
    <row r="14" customFormat="false" ht="18" hidden="false" customHeight="true" outlineLevel="0" collapsed="false">
      <c r="A14" s="20" t="str">
        <f aca="false">B14&amp;"|"&amp;C14</f>
        <v>CHN|P12</v>
      </c>
      <c r="B14" s="8" t="s">
        <v>85</v>
      </c>
      <c r="C14" s="8" t="s">
        <v>86</v>
      </c>
      <c r="D14" s="20" t="str">
        <f aca="false">INDEX(Paises!$B:$B,MATCH(B14,Paises!$A:$A,0))</f>
        <v>China</v>
      </c>
      <c r="E14" s="20" t="str">
        <f aca="false">INDEX(Productos!$B:$B,MATCH(C14,Productos!$A:$A,0))</f>
        <v>Jugo concentrado de piña</v>
      </c>
      <c r="F14" s="13" t="n">
        <f aca="false">ROUND((INDEX(Productos!$F:$F,MATCH(C14,Productos!$A:$A,0))+INDEX(Productos!$E:$E,MATCH(C14,Productos!$A:$A,0))*INDEX(Rutas!$E:$E,MATCH(B14&amp;"|"&amp;J14,Rutas!$A:$A,0)))*(1+INDEX(Rutas!$F:$F,MATCH(B14&amp;"|"&amp;J14,Rutas!$A:$A,0)))*(1+INDEX(Aranceles!$F:$F,MATCH(B14&amp;"|"&amp;C14,Aranceles!$A:$A,0)))*(1+Parametros!$B$10),2)</f>
        <v>511.14</v>
      </c>
      <c r="G14" s="9" t="n">
        <v>60</v>
      </c>
      <c r="H14" s="20" t="s">
        <v>197</v>
      </c>
      <c r="I14" s="20" t="s">
        <v>270</v>
      </c>
      <c r="J14" s="20" t="str">
        <f aca="false">INDEX(Productos!$J:$J,MATCH(C14,Productos!$A:$A,0))</f>
        <v>Marítimo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271</v>
      </c>
    </row>
    <row r="2" customFormat="false" ht="15" hidden="false" customHeight="false" outlineLevel="0" collapsed="false">
      <c r="A2" s="2" t="s">
        <v>272</v>
      </c>
    </row>
    <row r="4" customFormat="false" ht="31.5" hidden="false" customHeight="true" outlineLevel="0" collapsed="false">
      <c r="A4" s="7" t="s">
        <v>273</v>
      </c>
      <c r="B4" s="7" t="s">
        <v>274</v>
      </c>
      <c r="C4" s="7" t="s">
        <v>151</v>
      </c>
    </row>
    <row r="5" customFormat="false" ht="18" hidden="false" customHeight="true" outlineLevel="0" collapsed="false">
      <c r="A5" s="20" t="s">
        <v>275</v>
      </c>
      <c r="B5" s="10" t="n">
        <v>50000</v>
      </c>
      <c r="C5" s="20" t="s">
        <v>276</v>
      </c>
    </row>
    <row r="6" customFormat="false" ht="18" hidden="false" customHeight="true" outlineLevel="0" collapsed="false">
      <c r="A6" s="20" t="s">
        <v>277</v>
      </c>
      <c r="B6" s="30" t="n">
        <v>1.5</v>
      </c>
      <c r="C6" s="20" t="s">
        <v>278</v>
      </c>
    </row>
    <row r="7" customFormat="false" ht="18" hidden="false" customHeight="true" outlineLevel="0" collapsed="false">
      <c r="A7" s="20" t="s">
        <v>279</v>
      </c>
      <c r="B7" s="11" t="n">
        <v>4</v>
      </c>
      <c r="C7" s="20"/>
    </row>
    <row r="8" customFormat="false" ht="18" hidden="false" customHeight="true" outlineLevel="0" collapsed="false">
      <c r="A8" s="20" t="s">
        <v>280</v>
      </c>
      <c r="B8" s="11" t="n">
        <v>8</v>
      </c>
      <c r="C8" s="20" t="s">
        <v>281</v>
      </c>
    </row>
    <row r="9" customFormat="false" ht="18" hidden="false" customHeight="true" outlineLevel="0" collapsed="false">
      <c r="A9" s="20" t="s">
        <v>282</v>
      </c>
      <c r="B9" s="8" t="s">
        <v>283</v>
      </c>
      <c r="C9" s="20"/>
    </row>
    <row r="10" customFormat="false" ht="18" hidden="false" customHeight="true" outlineLevel="0" collapsed="false">
      <c r="A10" s="20" t="s">
        <v>284</v>
      </c>
      <c r="B10" s="32" t="n">
        <v>0.25</v>
      </c>
      <c r="C10" s="20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90"/>
  </cols>
  <sheetData>
    <row r="1" customFormat="false" ht="24" hidden="false" customHeight="true" outlineLevel="0" collapsed="false">
      <c r="A1" s="1" t="s">
        <v>286</v>
      </c>
    </row>
    <row r="2" customFormat="false" ht="15" hidden="false" customHeight="false" outlineLevel="0" collapsed="false">
      <c r="A2" s="2" t="s">
        <v>287</v>
      </c>
    </row>
    <row r="4" customFormat="false" ht="31.5" hidden="false" customHeight="true" outlineLevel="0" collapsed="false">
      <c r="A4" s="7" t="s">
        <v>145</v>
      </c>
      <c r="B4" s="7" t="s">
        <v>150</v>
      </c>
      <c r="C4" s="7" t="s">
        <v>288</v>
      </c>
    </row>
    <row r="5" customFormat="false" ht="18" hidden="false" customHeight="true" outlineLevel="0" collapsed="false">
      <c r="A5" s="8" t="s">
        <v>289</v>
      </c>
      <c r="B5" s="20" t="s">
        <v>290</v>
      </c>
      <c r="C5" s="20" t="s">
        <v>291</v>
      </c>
    </row>
    <row r="6" customFormat="false" ht="18" hidden="false" customHeight="true" outlineLevel="0" collapsed="false">
      <c r="A6" s="8" t="s">
        <v>292</v>
      </c>
      <c r="B6" s="20" t="s">
        <v>293</v>
      </c>
      <c r="C6" s="20" t="s">
        <v>294</v>
      </c>
    </row>
    <row r="7" customFormat="false" ht="18" hidden="false" customHeight="true" outlineLevel="0" collapsed="false">
      <c r="A7" s="8" t="s">
        <v>295</v>
      </c>
      <c r="B7" s="20" t="s">
        <v>296</v>
      </c>
      <c r="C7" s="20" t="s">
        <v>297</v>
      </c>
    </row>
    <row r="8" customFormat="false" ht="18" hidden="false" customHeight="true" outlineLevel="0" collapsed="false">
      <c r="A8" s="8" t="s">
        <v>118</v>
      </c>
      <c r="B8" s="20" t="s">
        <v>298</v>
      </c>
      <c r="C8" s="20" t="s">
        <v>299</v>
      </c>
    </row>
    <row r="9" customFormat="false" ht="18" hidden="false" customHeight="true" outlineLevel="0" collapsed="false">
      <c r="A9" s="8" t="s">
        <v>197</v>
      </c>
      <c r="B9" s="20" t="s">
        <v>300</v>
      </c>
      <c r="C9" s="20"/>
    </row>
    <row r="10" customFormat="false" ht="18" hidden="false" customHeight="true" outlineLevel="0" collapsed="false">
      <c r="A10" s="8" t="s">
        <v>116</v>
      </c>
      <c r="B10" s="20" t="s">
        <v>301</v>
      </c>
      <c r="C10" s="20" t="s">
        <v>302</v>
      </c>
    </row>
    <row r="11" customFormat="false" ht="18" hidden="false" customHeight="true" outlineLevel="0" collapsed="false">
      <c r="A11" s="8" t="s">
        <v>254</v>
      </c>
      <c r="B11" s="20" t="s">
        <v>303</v>
      </c>
      <c r="C11" s="20" t="s">
        <v>304</v>
      </c>
    </row>
    <row r="12" customFormat="false" ht="18" hidden="false" customHeight="true" outlineLevel="0" collapsed="false">
      <c r="A12" s="8" t="s">
        <v>258</v>
      </c>
      <c r="B12" s="20" t="s">
        <v>305</v>
      </c>
      <c r="C12" s="20" t="s">
        <v>306</v>
      </c>
    </row>
    <row r="13" customFormat="false" ht="18" hidden="false" customHeight="true" outlineLevel="0" collapsed="false">
      <c r="A13" s="8" t="s">
        <v>246</v>
      </c>
      <c r="B13" s="20" t="s">
        <v>307</v>
      </c>
      <c r="C13" s="20" t="s">
        <v>308</v>
      </c>
    </row>
    <row r="14" customFormat="false" ht="18" hidden="false" customHeight="true" outlineLevel="0" collapsed="false">
      <c r="A14" s="8" t="s">
        <v>250</v>
      </c>
      <c r="B14" s="20" t="s">
        <v>309</v>
      </c>
      <c r="C14" s="20" t="s">
        <v>310</v>
      </c>
    </row>
    <row r="15" customFormat="false" ht="18" hidden="false" customHeight="true" outlineLevel="0" collapsed="false">
      <c r="A15" s="8" t="s">
        <v>256</v>
      </c>
      <c r="B15" s="20" t="s">
        <v>311</v>
      </c>
      <c r="C15" s="20" t="s">
        <v>312</v>
      </c>
    </row>
    <row r="16" customFormat="false" ht="18" hidden="false" customHeight="true" outlineLevel="0" collapsed="false">
      <c r="A16" s="8" t="s">
        <v>262</v>
      </c>
      <c r="B16" s="20" t="s">
        <v>313</v>
      </c>
      <c r="C16" s="20" t="s">
        <v>314</v>
      </c>
    </row>
    <row r="17" customFormat="false" ht="18" hidden="false" customHeight="true" outlineLevel="0" collapsed="false">
      <c r="A17" s="8" t="s">
        <v>264</v>
      </c>
      <c r="B17" s="20" t="s">
        <v>315</v>
      </c>
      <c r="C17" s="20" t="s">
        <v>316</v>
      </c>
    </row>
    <row r="18" customFormat="false" ht="18" hidden="false" customHeight="true" outlineLevel="0" collapsed="false">
      <c r="A18" s="8" t="s">
        <v>238</v>
      </c>
      <c r="B18" s="20" t="s">
        <v>317</v>
      </c>
      <c r="C18" s="20" t="s">
        <v>318</v>
      </c>
    </row>
    <row r="19" customFormat="false" ht="18" hidden="false" customHeight="true" outlineLevel="0" collapsed="false">
      <c r="A19" s="8" t="s">
        <v>156</v>
      </c>
      <c r="B19" s="20" t="s">
        <v>319</v>
      </c>
      <c r="C19" s="20" t="s">
        <v>320</v>
      </c>
    </row>
    <row r="20" customFormat="false" ht="18" hidden="false" customHeight="true" outlineLevel="0" collapsed="false">
      <c r="A20" s="8" t="s">
        <v>168</v>
      </c>
      <c r="B20" s="20" t="s">
        <v>321</v>
      </c>
      <c r="C20" s="20" t="s">
        <v>322</v>
      </c>
    </row>
    <row r="21" customFormat="false" ht="18" hidden="false" customHeight="true" outlineLevel="0" collapsed="false">
      <c r="A21" s="8" t="s">
        <v>162</v>
      </c>
      <c r="B21" s="20" t="s">
        <v>323</v>
      </c>
      <c r="C21" s="20" t="s">
        <v>324</v>
      </c>
    </row>
    <row r="22" customFormat="false" ht="18" hidden="false" customHeight="true" outlineLevel="0" collapsed="false">
      <c r="A22" s="8" t="s">
        <v>177</v>
      </c>
      <c r="B22" s="20" t="s">
        <v>325</v>
      </c>
      <c r="C22" s="20" t="s">
        <v>326</v>
      </c>
    </row>
    <row r="23" customFormat="false" ht="18" hidden="false" customHeight="true" outlineLevel="0" collapsed="false">
      <c r="A23" s="8" t="s">
        <v>182</v>
      </c>
      <c r="B23" s="20" t="s">
        <v>327</v>
      </c>
      <c r="C23" s="20" t="s">
        <v>328</v>
      </c>
    </row>
    <row r="24" customFormat="false" ht="18" hidden="false" customHeight="true" outlineLevel="0" collapsed="false">
      <c r="A24" s="8" t="s">
        <v>329</v>
      </c>
      <c r="B24" s="20" t="s">
        <v>330</v>
      </c>
      <c r="C24" s="20" t="s">
        <v>331</v>
      </c>
    </row>
    <row r="25" customFormat="false" ht="18" hidden="false" customHeight="true" outlineLevel="0" collapsed="false">
      <c r="A25" s="8" t="s">
        <v>192</v>
      </c>
      <c r="B25" s="20" t="s">
        <v>332</v>
      </c>
      <c r="C25" s="20" t="s">
        <v>333</v>
      </c>
    </row>
    <row r="26" customFormat="false" ht="18" hidden="false" customHeight="true" outlineLevel="0" collapsed="false">
      <c r="A26" s="8" t="s">
        <v>204</v>
      </c>
      <c r="B26" s="20" t="s">
        <v>334</v>
      </c>
      <c r="C26" s="20" t="s">
        <v>335</v>
      </c>
    </row>
    <row r="27" customFormat="false" ht="18" hidden="false" customHeight="true" outlineLevel="0" collapsed="false">
      <c r="A27" s="8" t="s">
        <v>215</v>
      </c>
      <c r="B27" s="20" t="s">
        <v>336</v>
      </c>
      <c r="C27" s="20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42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" t="s">
        <v>338</v>
      </c>
    </row>
    <row r="2" customFormat="false" ht="15" hidden="false" customHeight="false" outlineLevel="0" collapsed="false">
      <c r="A2" s="2" t="s">
        <v>339</v>
      </c>
    </row>
    <row r="4" customFormat="false" ht="31.5" hidden="false" customHeight="true" outlineLevel="0" collapsed="false">
      <c r="A4" s="7" t="s">
        <v>340</v>
      </c>
      <c r="B4" s="7" t="s">
        <v>341</v>
      </c>
      <c r="C4" s="7" t="s">
        <v>342</v>
      </c>
      <c r="D4" s="7" t="s">
        <v>343</v>
      </c>
      <c r="E4" s="7" t="s">
        <v>344</v>
      </c>
      <c r="F4" s="7" t="s">
        <v>345</v>
      </c>
      <c r="G4" s="7" t="s">
        <v>346</v>
      </c>
      <c r="H4" s="7" t="s">
        <v>112</v>
      </c>
    </row>
    <row r="5" customFormat="false" ht="18" hidden="false" customHeight="true" outlineLevel="0" collapsed="false">
      <c r="A5" s="20" t="s">
        <v>347</v>
      </c>
      <c r="B5" s="20" t="s">
        <v>348</v>
      </c>
      <c r="C5" s="8" t="s">
        <v>349</v>
      </c>
      <c r="D5" s="8" t="n">
        <v>2</v>
      </c>
      <c r="E5" s="20" t="s">
        <v>350</v>
      </c>
      <c r="F5" s="20" t="s">
        <v>351</v>
      </c>
      <c r="G5" s="8"/>
      <c r="H5" s="8" t="s">
        <v>352</v>
      </c>
    </row>
    <row r="6" customFormat="false" ht="18" hidden="false" customHeight="true" outlineLevel="0" collapsed="false">
      <c r="A6" s="20" t="s">
        <v>353</v>
      </c>
      <c r="B6" s="20" t="s">
        <v>354</v>
      </c>
      <c r="C6" s="8" t="s">
        <v>349</v>
      </c>
      <c r="D6" s="8" t="n">
        <v>1</v>
      </c>
      <c r="E6" s="20" t="s">
        <v>355</v>
      </c>
      <c r="F6" s="20" t="s">
        <v>356</v>
      </c>
      <c r="G6" s="8"/>
      <c r="H6" s="8" t="s">
        <v>352</v>
      </c>
    </row>
    <row r="7" customFormat="false" ht="18" hidden="false" customHeight="true" outlineLevel="0" collapsed="false">
      <c r="A7" s="20" t="s">
        <v>357</v>
      </c>
      <c r="B7" s="20" t="s">
        <v>358</v>
      </c>
      <c r="C7" s="8" t="s">
        <v>349</v>
      </c>
      <c r="D7" s="8" t="n">
        <v>1</v>
      </c>
      <c r="E7" s="20" t="s">
        <v>359</v>
      </c>
      <c r="F7" s="20" t="s">
        <v>360</v>
      </c>
      <c r="G7" s="8"/>
      <c r="H7" s="8" t="s">
        <v>352</v>
      </c>
    </row>
    <row r="8" customFormat="false" ht="18" hidden="false" customHeight="true" outlineLevel="0" collapsed="false">
      <c r="A8" s="20" t="s">
        <v>361</v>
      </c>
      <c r="B8" s="20" t="s">
        <v>362</v>
      </c>
      <c r="C8" s="8" t="s">
        <v>349</v>
      </c>
      <c r="D8" s="8" t="n">
        <v>2</v>
      </c>
      <c r="E8" s="20" t="s">
        <v>363</v>
      </c>
      <c r="F8" s="20" t="s">
        <v>364</v>
      </c>
      <c r="G8" s="8"/>
      <c r="H8" s="8" t="s">
        <v>352</v>
      </c>
    </row>
    <row r="9" customFormat="false" ht="18" hidden="false" customHeight="true" outlineLevel="0" collapsed="false">
      <c r="A9" s="20" t="s">
        <v>365</v>
      </c>
      <c r="B9" s="20" t="s">
        <v>366</v>
      </c>
      <c r="C9" s="8" t="s">
        <v>349</v>
      </c>
      <c r="D9" s="8" t="n">
        <v>1</v>
      </c>
      <c r="E9" s="20" t="s">
        <v>367</v>
      </c>
      <c r="F9" s="20" t="s">
        <v>368</v>
      </c>
      <c r="G9" s="8"/>
      <c r="H9" s="8" t="s">
        <v>352</v>
      </c>
    </row>
    <row r="10" customFormat="false" ht="18" hidden="false" customHeight="true" outlineLevel="0" collapsed="false">
      <c r="A10" s="20" t="s">
        <v>369</v>
      </c>
      <c r="B10" s="20" t="s">
        <v>370</v>
      </c>
      <c r="C10" s="8" t="s">
        <v>349</v>
      </c>
      <c r="D10" s="8" t="n">
        <v>1</v>
      </c>
      <c r="E10" s="20" t="s">
        <v>371</v>
      </c>
      <c r="F10" s="20" t="s">
        <v>372</v>
      </c>
      <c r="G10" s="8"/>
      <c r="H10" s="8" t="s">
        <v>352</v>
      </c>
    </row>
    <row r="11" customFormat="false" ht="18" hidden="false" customHeight="true" outlineLevel="0" collapsed="false">
      <c r="A11" s="20" t="s">
        <v>373</v>
      </c>
      <c r="B11" s="20" t="s">
        <v>374</v>
      </c>
      <c r="C11" s="8" t="s">
        <v>375</v>
      </c>
      <c r="D11" s="8" t="n">
        <v>2</v>
      </c>
      <c r="E11" s="20" t="s">
        <v>376</v>
      </c>
      <c r="F11" s="20" t="s">
        <v>377</v>
      </c>
      <c r="G11" s="8"/>
      <c r="H11" s="8" t="s">
        <v>352</v>
      </c>
    </row>
    <row r="12" customFormat="false" ht="18" hidden="false" customHeight="true" outlineLevel="0" collapsed="false">
      <c r="A12" s="20" t="s">
        <v>378</v>
      </c>
      <c r="B12" s="20" t="s">
        <v>379</v>
      </c>
      <c r="C12" s="8" t="s">
        <v>349</v>
      </c>
      <c r="D12" s="8" t="n">
        <v>1</v>
      </c>
      <c r="E12" s="20" t="s">
        <v>380</v>
      </c>
      <c r="F12" s="20" t="s">
        <v>381</v>
      </c>
      <c r="G12" s="8"/>
      <c r="H12" s="8" t="s">
        <v>352</v>
      </c>
    </row>
    <row r="13" customFormat="false" ht="18" hidden="false" customHeight="true" outlineLevel="0" collapsed="false">
      <c r="A13" s="20" t="s">
        <v>382</v>
      </c>
      <c r="B13" s="20" t="s">
        <v>383</v>
      </c>
      <c r="C13" s="8" t="s">
        <v>349</v>
      </c>
      <c r="D13" s="8" t="n">
        <v>1</v>
      </c>
      <c r="E13" s="20" t="s">
        <v>384</v>
      </c>
      <c r="F13" s="20" t="s">
        <v>385</v>
      </c>
      <c r="G13" s="8"/>
      <c r="H13" s="8" t="s">
        <v>352</v>
      </c>
    </row>
    <row r="14" customFormat="false" ht="18" hidden="false" customHeight="true" outlineLevel="0" collapsed="false">
      <c r="A14" s="20" t="s">
        <v>386</v>
      </c>
      <c r="B14" s="20" t="s">
        <v>387</v>
      </c>
      <c r="C14" s="8" t="s">
        <v>349</v>
      </c>
      <c r="D14" s="8" t="n">
        <v>1</v>
      </c>
      <c r="E14" s="20" t="s">
        <v>388</v>
      </c>
      <c r="F14" s="20" t="s">
        <v>389</v>
      </c>
      <c r="G14" s="8"/>
      <c r="H14" s="8" t="s">
        <v>352</v>
      </c>
    </row>
    <row r="15" customFormat="false" ht="18" hidden="false" customHeight="true" outlineLevel="0" collapsed="false">
      <c r="A15" s="20" t="s">
        <v>390</v>
      </c>
      <c r="B15" s="20" t="s">
        <v>391</v>
      </c>
      <c r="C15" s="8" t="s">
        <v>349</v>
      </c>
      <c r="D15" s="8" t="n">
        <v>1</v>
      </c>
      <c r="E15" s="20" t="s">
        <v>392</v>
      </c>
      <c r="F15" s="20" t="s">
        <v>393</v>
      </c>
      <c r="G15" s="8"/>
      <c r="H15" s="8" t="s">
        <v>352</v>
      </c>
    </row>
    <row r="16" customFormat="false" ht="18" hidden="false" customHeight="true" outlineLevel="0" collapsed="false">
      <c r="A16" s="20" t="s">
        <v>394</v>
      </c>
      <c r="B16" s="20" t="s">
        <v>395</v>
      </c>
      <c r="C16" s="8" t="s">
        <v>349</v>
      </c>
      <c r="D16" s="8" t="n">
        <v>2</v>
      </c>
      <c r="E16" s="20" t="s">
        <v>396</v>
      </c>
      <c r="F16" s="20" t="s">
        <v>397</v>
      </c>
      <c r="G16" s="8"/>
      <c r="H16" s="8" t="s">
        <v>352</v>
      </c>
    </row>
    <row r="17" customFormat="false" ht="18" hidden="false" customHeight="true" outlineLevel="0" collapsed="false">
      <c r="A17" s="20" t="s">
        <v>398</v>
      </c>
      <c r="B17" s="20" t="s">
        <v>399</v>
      </c>
      <c r="C17" s="8" t="s">
        <v>375</v>
      </c>
      <c r="D17" s="8" t="n">
        <v>2</v>
      </c>
      <c r="E17" s="20" t="s">
        <v>400</v>
      </c>
      <c r="F17" s="20" t="s">
        <v>401</v>
      </c>
      <c r="G17" s="8"/>
      <c r="H17" s="8" t="s">
        <v>352</v>
      </c>
    </row>
    <row r="18" customFormat="false" ht="18" hidden="false" customHeight="true" outlineLevel="0" collapsed="false">
      <c r="A18" s="20" t="s">
        <v>402</v>
      </c>
      <c r="B18" s="20" t="s">
        <v>403</v>
      </c>
      <c r="C18" s="8" t="s">
        <v>375</v>
      </c>
      <c r="D18" s="8" t="n">
        <v>2</v>
      </c>
      <c r="E18" s="20" t="s">
        <v>404</v>
      </c>
      <c r="F18" s="20" t="s">
        <v>405</v>
      </c>
      <c r="G18" s="8"/>
      <c r="H18" s="8" t="s">
        <v>352</v>
      </c>
    </row>
    <row r="19" customFormat="false" ht="18" hidden="false" customHeight="true" outlineLevel="0" collapsed="false">
      <c r="A19" s="20" t="s">
        <v>406</v>
      </c>
      <c r="B19" s="20" t="s">
        <v>407</v>
      </c>
      <c r="C19" s="8" t="s">
        <v>375</v>
      </c>
      <c r="D19" s="8" t="n">
        <v>2</v>
      </c>
      <c r="E19" s="20" t="s">
        <v>408</v>
      </c>
      <c r="F19" s="20" t="s">
        <v>409</v>
      </c>
      <c r="G19" s="8"/>
      <c r="H19" s="8" t="s">
        <v>352</v>
      </c>
    </row>
    <row r="20" customFormat="false" ht="18" hidden="false" customHeight="true" outlineLevel="0" collapsed="false">
      <c r="A20" s="20" t="s">
        <v>410</v>
      </c>
      <c r="B20" s="20" t="s">
        <v>411</v>
      </c>
      <c r="C20" s="8" t="s">
        <v>412</v>
      </c>
      <c r="D20" s="8" t="n">
        <v>2</v>
      </c>
      <c r="E20" s="20" t="s">
        <v>413</v>
      </c>
      <c r="F20" s="20" t="s">
        <v>414</v>
      </c>
      <c r="G20" s="8"/>
      <c r="H20" s="8" t="s">
        <v>352</v>
      </c>
    </row>
    <row r="23" customFormat="false" ht="15" hidden="false" customHeight="false" outlineLevel="0" collapsed="false">
      <c r="B23" s="22" t="s">
        <v>415</v>
      </c>
      <c r="C23" s="33" t="n">
        <f aca="false">COUNTA(A5:A20)</f>
        <v>16</v>
      </c>
    </row>
    <row r="24" customFormat="false" ht="15" hidden="false" customHeight="false" outlineLevel="0" collapsed="false">
      <c r="B24" s="22" t="s">
        <v>416</v>
      </c>
      <c r="C24" s="33" t="n">
        <f aca="false">COUNTIF(D5:D20,1)</f>
        <v>8</v>
      </c>
    </row>
    <row r="25" customFormat="false" ht="15" hidden="false" customHeight="false" outlineLevel="0" collapsed="false">
      <c r="B25" s="22" t="s">
        <v>417</v>
      </c>
      <c r="C25" s="34" t="n">
        <f aca="false">C24/C23</f>
        <v>0.5</v>
      </c>
    </row>
    <row r="26" customFormat="false" ht="15" hidden="false" customHeight="false" outlineLevel="0" collapsed="false">
      <c r="B26" s="22" t="s">
        <v>418</v>
      </c>
      <c r="C26" s="33" t="n">
        <f aca="false">COUNTIFS(D5:D20,1,H5:H20,"Terminado")</f>
        <v>0</v>
      </c>
    </row>
    <row r="27" customFormat="false" ht="15" hidden="false" customHeight="false" outlineLevel="0" collapsed="false">
      <c r="B27" s="22" t="s">
        <v>419</v>
      </c>
      <c r="C27" s="34" t="n">
        <f aca="false">IF(C24=0,0,C26/C24)</f>
        <v>0</v>
      </c>
    </row>
    <row r="28" customFormat="false" ht="15" hidden="false" customHeight="false" outlineLevel="0" collapsed="false">
      <c r="B28" s="22" t="s">
        <v>420</v>
      </c>
      <c r="C28" s="34" t="n">
        <f aca="false">COUNTIF(H5:H20,"Terminado")/C23</f>
        <v>0</v>
      </c>
    </row>
  </sheetData>
  <dataValidations count="1">
    <dataValidation allowBlank="false" errorStyle="stop" operator="between" showDropDown="false" showErrorMessage="false" showInputMessage="false" sqref="H5:H20" type="list">
      <formula1>"Pendiente,En progreso,En revisión,Terminado"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2026-10-10T04:54:26Z</dcterms:created>
  <dc:creator>openpyxl</dc:creator>
  <dc:description/>
  <dc:language>en-US</dc:language>
  <cp:lastModifiedBy/>
  <dcterms:modified xsi:type="dcterms:W3CDTF">2026-10-10T04:54:26Z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